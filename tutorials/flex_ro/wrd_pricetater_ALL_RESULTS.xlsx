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2A09BA11-C389-447D-B5FD-2BEDC67CF040}" xr6:coauthVersionLast="47" xr6:coauthVersionMax="47" xr10:uidLastSave="{00000000-0000-0000-0000-000000000000}"/>
  <bookViews>
    <workbookView xWindow="57480" yWindow="8430" windowWidth="29040" windowHeight="15720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8" i="1" l="1"/>
  <c r="K87" i="1"/>
  <c r="P80" i="1"/>
  <c r="D80" i="1"/>
  <c r="P86" i="1"/>
  <c r="D86" i="1"/>
  <c r="D57" i="1"/>
  <c r="P57" i="1" s="1"/>
  <c r="D51" i="1"/>
  <c r="P51" i="1" s="1"/>
  <c r="Z15" i="3"/>
  <c r="AA15" i="3" s="1"/>
  <c r="G15" i="3"/>
  <c r="AA16" i="3"/>
  <c r="Z16" i="3"/>
  <c r="G16" i="3"/>
  <c r="Z19" i="3"/>
  <c r="AA19" i="3" s="1"/>
  <c r="G17" i="3"/>
  <c r="S17" i="3" s="1"/>
  <c r="G19" i="3"/>
  <c r="G18" i="3"/>
  <c r="AA18" i="3"/>
  <c r="Z18" i="3"/>
  <c r="Z5" i="3"/>
  <c r="Z13" i="3"/>
  <c r="Z17" i="3"/>
  <c r="AA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76" i="1"/>
  <c r="K5" i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D73" i="1"/>
  <c r="P73" i="1" s="1"/>
  <c r="P77" i="1" s="1"/>
  <c r="O61" i="1"/>
  <c r="D61" i="1" s="1"/>
  <c r="P61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79" i="1"/>
  <c r="P79" i="1" s="1"/>
  <c r="D56" i="1"/>
  <c r="P56" i="1" s="1"/>
  <c r="D54" i="1"/>
  <c r="P54" i="1" s="1"/>
  <c r="D53" i="1"/>
  <c r="P53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13" i="1" l="1"/>
  <c r="P112" i="1"/>
  <c r="AB15" i="3"/>
  <c r="AB19" i="3"/>
  <c r="AB16" i="3"/>
  <c r="AB18" i="3"/>
  <c r="AB17" i="3"/>
  <c r="G9" i="3"/>
  <c r="AB9" i="3" s="1"/>
  <c r="AA13" i="3"/>
  <c r="AB5" i="3"/>
  <c r="G10" i="3"/>
  <c r="AB10" i="3" s="1"/>
  <c r="D109" i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P87" i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tc={72AFD5EA-5AA9-4CD2-944C-D32BC94D67D2}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A60" authorId="12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3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4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5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6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7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8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78" authorId="19" shapeId="0" xr:uid="{72AFD5EA-5AA9-4CD2-944C-D32BC94D67D2}">
      <text>
        <t>[Threaded comment]
Your version of Excel allows you to read this threaded comment; however, any edits to it will get removed if the file is opened in a newer version of Excel. Learn more: https://go.microsoft.com/fwlink/?linkid=870924
Comment:
    If RED, result is using the 2026 rate, but I’m updating to the 2023 version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  <author>tc={936919AF-DC5C-473D-ADF0-F77CA44CF3E1}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  <comment ref="A15" authorId="6" shapeId="0" xr:uid="{936919AF-DC5C-473D-ADF0-F77CA44CF3E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now all incorrect with the updated RTP rate</t>
      </text>
    </comment>
  </commentList>
</comments>
</file>

<file path=xl/sharedStrings.xml><?xml version="1.0" encoding="utf-8"?>
<sst xmlns="http://schemas.openxmlformats.org/spreadsheetml/2006/main" count="355" uniqueCount="103">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</sst>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2" fontId="0" fillId="0" borderId="11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  <xf numFmtId="0" fontId="23" fillId="0" borderId="0" xfId="0" applyFon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78" dT="2026-09-11T22:19:30.96" personId="{114E4FE4-B7B1-4FA3-A72A-3A97E9B9C3CF}" id="{72AFD5EA-5AA9-4CD2-944C-D32BC94D67D2}">
    <text>If RED, result is using the 2026 rate, but I’m updating to the 2023 version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  <threadedComment ref="A15" dT="2026-09-11T20:08:59.21" personId="{114E4FE4-B7B1-4FA3-A72A-3A97E9B9C3CF}" id="{936919AF-DC5C-473D-ADF0-F77CA44CF3E1}">
    <text>These are now all incorrect with the updated RTP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abSelected="1" topLeftCell="A31" zoomScale="110" zoomScaleNormal="110" workbookViewId="0">
      <selection activeCell="K59" sqref="K59"/>
    </sheetView>
  </sheetViews>
  <sheetFormatPr defaultRowHeight="14.6" x14ac:dyDescent="0.4"/>
  <cols>
    <col min="1" max="1" width="9.61328125" customWidth="1"/>
    <col min="3" max="3" width="10.84375" customWidth="1"/>
    <col min="4" max="4" width="9" bestFit="1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27" t="s">
        <v>45</v>
      </c>
      <c r="B33" s="27"/>
      <c r="C33" s="27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2" t="s">
        <v>20</v>
      </c>
      <c r="B50" s="2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182278.61424564509</v>
      </c>
      <c r="E51">
        <v>282190.859999999</v>
      </c>
      <c r="F51">
        <v>1.071688712182</v>
      </c>
      <c r="G51">
        <v>84096.123187821693</v>
      </c>
      <c r="H51">
        <v>6548.9454112036401</v>
      </c>
      <c r="I51">
        <v>4775.8073570242204</v>
      </c>
      <c r="J51">
        <v>95420.875956049596</v>
      </c>
      <c r="K51">
        <v>50845.200000000099</v>
      </c>
      <c r="L51">
        <v>15304.405199999899</v>
      </c>
      <c r="M51">
        <v>19298.29566</v>
      </c>
      <c r="N51">
        <v>1409.83742959549</v>
      </c>
      <c r="O51">
        <v>0</v>
      </c>
      <c r="P51">
        <f t="shared" si="11"/>
        <v>302838.28606464161</v>
      </c>
      <c r="Q51">
        <v>1101.77087397171</v>
      </c>
      <c r="R51">
        <v>38.493172752110603</v>
      </c>
      <c r="S51">
        <v>0.22912602828637299</v>
      </c>
      <c r="T51">
        <v>123.174719446704</v>
      </c>
      <c r="U51">
        <v>0</v>
      </c>
    </row>
    <row r="52" spans="1:22" x14ac:dyDescent="0.4">
      <c r="A52" s="3"/>
      <c r="G52" s="4"/>
    </row>
    <row r="53" spans="1:22" x14ac:dyDescent="0.4">
      <c r="A53" s="2" t="s">
        <v>20</v>
      </c>
      <c r="B53" s="2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s="2" t="s">
        <v>22</v>
      </c>
      <c r="B54" s="2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2" t="s">
        <v>20</v>
      </c>
      <c r="B56" s="2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121985.71201190345</v>
      </c>
      <c r="E57">
        <v>282179.671232878</v>
      </c>
      <c r="F57">
        <v>0.857837610925831</v>
      </c>
      <c r="G57">
        <v>20995.449422334499</v>
      </c>
      <c r="H57">
        <v>8679.2468578908702</v>
      </c>
      <c r="I57">
        <v>0</v>
      </c>
      <c r="J57">
        <v>29674.696280225398</v>
      </c>
      <c r="K57">
        <v>50866.657967699502</v>
      </c>
      <c r="L57">
        <v>20025.218226134399</v>
      </c>
      <c r="M57">
        <v>19945.780021308201</v>
      </c>
      <c r="N57">
        <v>1473.35951653596</v>
      </c>
      <c r="O57">
        <v>0</v>
      </c>
      <c r="P57">
        <f t="shared" si="11"/>
        <v>242545.38383089995</v>
      </c>
      <c r="Q57">
        <v>1460.1650793650699</v>
      </c>
      <c r="R57">
        <v>37676.483070845999</v>
      </c>
      <c r="S57">
        <v>819.05397980100099</v>
      </c>
      <c r="T57">
        <v>1.7261241678478001</v>
      </c>
      <c r="U57">
        <v>43664.303749434199</v>
      </c>
      <c r="V57">
        <v>357.90412909372202</v>
      </c>
    </row>
    <row r="58" spans="1:22" x14ac:dyDescent="0.4">
      <c r="K58">
        <f>K57+L57+M57-(K51+L51+M51)</f>
        <v>5389.7553551421151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27" t="s">
        <v>44</v>
      </c>
      <c r="B64" s="27"/>
      <c r="C64" s="27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3"/>
    </row>
    <row r="67" spans="1:22" x14ac:dyDescent="0.4">
      <c r="A67" s="27" t="s">
        <v>60</v>
      </c>
      <c r="B67" s="27"/>
      <c r="C67" s="27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27" t="s">
        <v>61</v>
      </c>
      <c r="B69" s="27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2" t="s">
        <v>20</v>
      </c>
      <c r="B79" s="2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5" t="s">
        <v>22</v>
      </c>
      <c r="B80" s="5" t="s">
        <v>23</v>
      </c>
      <c r="C80">
        <v>0</v>
      </c>
      <c r="D80">
        <f>J80+K80+L80+M80+N80</f>
        <v>124337.62912011228</v>
      </c>
      <c r="E80">
        <v>282190.859999999</v>
      </c>
      <c r="F80">
        <v>0.86636319198077105</v>
      </c>
      <c r="G80">
        <v>22795.571059233</v>
      </c>
      <c r="H80">
        <v>5233.0127982051599</v>
      </c>
      <c r="I80">
        <v>9451.3069638763409</v>
      </c>
      <c r="J80">
        <v>37479.890821314497</v>
      </c>
      <c r="K80">
        <v>50845.200002362697</v>
      </c>
      <c r="L80">
        <v>15304.4052063494</v>
      </c>
      <c r="M80">
        <v>19298.295660490199</v>
      </c>
      <c r="N80">
        <v>1409.83742959549</v>
      </c>
      <c r="O80">
        <v>0</v>
      </c>
      <c r="P80">
        <f t="shared" si="17"/>
        <v>244897.3009391088</v>
      </c>
      <c r="Q80">
        <v>1127.3472943468801</v>
      </c>
      <c r="R80">
        <v>0</v>
      </c>
      <c r="S80">
        <v>0</v>
      </c>
      <c r="T80">
        <v>0</v>
      </c>
    </row>
    <row r="81" spans="1:22" x14ac:dyDescent="0.4">
      <c r="A81" s="26"/>
      <c r="B81" s="2"/>
    </row>
    <row r="82" spans="1:22" x14ac:dyDescent="0.4">
      <c r="A82" s="2" t="s">
        <v>20</v>
      </c>
      <c r="B82" s="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4" spans="1:22" x14ac:dyDescent="0.4">
      <c r="A84" s="2"/>
      <c r="B84" s="2"/>
    </row>
    <row r="85" spans="1:22" x14ac:dyDescent="0.4">
      <c r="A85" s="2" t="s">
        <v>20</v>
      </c>
      <c r="B85" s="2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4">
      <c r="A86" s="5" t="s">
        <v>22</v>
      </c>
      <c r="B86" s="5" t="s">
        <v>21</v>
      </c>
      <c r="C86">
        <v>4</v>
      </c>
      <c r="D86">
        <f>J86+K86+L86+M86+N86</f>
        <v>119679.31713838593</v>
      </c>
      <c r="E86">
        <v>282179.67123287602</v>
      </c>
      <c r="F86">
        <v>0.84981637630953</v>
      </c>
      <c r="G86">
        <v>21259.596722088401</v>
      </c>
      <c r="H86">
        <v>5421.7142614628301</v>
      </c>
      <c r="I86">
        <v>4952.1226155222203</v>
      </c>
      <c r="J86">
        <v>31633.433599073502</v>
      </c>
      <c r="K86">
        <v>51143.819864261903</v>
      </c>
      <c r="L86">
        <v>16111.757255067099</v>
      </c>
      <c r="M86">
        <v>19359.912430053599</v>
      </c>
      <c r="N86">
        <v>1430.39398992981</v>
      </c>
      <c r="O86">
        <v>0</v>
      </c>
      <c r="P86">
        <f t="shared" si="19"/>
        <v>240238.98895738245</v>
      </c>
      <c r="Q86">
        <v>1167.9992270377099</v>
      </c>
      <c r="R86">
        <v>12796.980451596301</v>
      </c>
      <c r="S86">
        <v>511.87921806385202</v>
      </c>
      <c r="T86">
        <v>3.2717316651185699E-2</v>
      </c>
      <c r="U86">
        <v>9062.6004208208706</v>
      </c>
      <c r="V86">
        <v>63.374828117628397</v>
      </c>
    </row>
    <row r="87" spans="1:22" x14ac:dyDescent="0.4">
      <c r="K87">
        <f>K86+L86+M86-(K80+L80+M80)</f>
        <v>1167.588680180299</v>
      </c>
      <c r="P87">
        <f t="shared" si="19"/>
        <v>120559.67181899652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G94" s="4"/>
    </row>
    <row r="95" spans="1:22" x14ac:dyDescent="0.4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0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4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4">
      <c r="A97" s="2"/>
      <c r="G97" s="4"/>
    </row>
    <row r="99" spans="1:22" x14ac:dyDescent="0.4">
      <c r="A99" s="1" t="s">
        <v>63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1">D100+$P$1</f>
        <v>265201.24508552696</v>
      </c>
    </row>
    <row r="101" spans="1:22" x14ac:dyDescent="0.4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2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4">
      <c r="K102">
        <f>SUM(K100:M100)-SUM(K101:M101)</f>
        <v>-750.09243586547382</v>
      </c>
    </row>
    <row r="103" spans="1:22" x14ac:dyDescent="0.4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3">D103+$P$1</f>
        <v>303282.7899059637</v>
      </c>
    </row>
    <row r="104" spans="1:22" x14ac:dyDescent="0.4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3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4">
      <c r="K105" s="13">
        <f>SUM(K103:M103)-SUM(K104:M104)</f>
        <v>-831.26776848098962</v>
      </c>
    </row>
    <row r="106" spans="1:22" x14ac:dyDescent="0.4">
      <c r="A106" s="1" t="s">
        <v>65</v>
      </c>
      <c r="K106" s="13"/>
    </row>
    <row r="107" spans="1:22" x14ac:dyDescent="0.4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4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4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4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4">
      <c r="D109" s="13">
        <f>D108-D31</f>
        <v>870.81314264753019</v>
      </c>
      <c r="E109" s="13">
        <f t="shared" ref="E109:N109" si="25">E108-E31</f>
        <v>15.79363181698136</v>
      </c>
      <c r="F109" s="13">
        <f t="shared" si="25"/>
        <v>3.0492754563130609E-3</v>
      </c>
      <c r="G109" s="13">
        <f t="shared" si="25"/>
        <v>270.37094434599931</v>
      </c>
      <c r="H109" s="13">
        <f t="shared" si="25"/>
        <v>1259.5735968278204</v>
      </c>
      <c r="I109" s="13">
        <f t="shared" si="25"/>
        <v>12.753618583180469</v>
      </c>
      <c r="J109" s="13">
        <f t="shared" si="25"/>
        <v>1542.6981597569975</v>
      </c>
      <c r="K109" s="13">
        <f t="shared" si="25"/>
        <v>-170.1127457354014</v>
      </c>
      <c r="L109" s="13">
        <f t="shared" si="25"/>
        <v>-463.96926584500034</v>
      </c>
      <c r="M109" s="13">
        <f t="shared" si="25"/>
        <v>-34.808792153802642</v>
      </c>
      <c r="N109" s="13">
        <f t="shared" si="25"/>
        <v>-2.9942133752499558</v>
      </c>
    </row>
    <row r="110" spans="1:22" x14ac:dyDescent="0.4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4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4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6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4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4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4">
      <c r="A115" s="7" t="s">
        <v>37</v>
      </c>
    </row>
    <row r="116" spans="1:20" x14ac:dyDescent="0.4">
      <c r="A116" t="s">
        <v>32</v>
      </c>
      <c r="B116" t="s">
        <v>33</v>
      </c>
      <c r="C116" t="s">
        <v>2</v>
      </c>
    </row>
    <row r="117" spans="1:20" x14ac:dyDescent="0.4">
      <c r="A117">
        <v>20</v>
      </c>
      <c r="B117">
        <v>60</v>
      </c>
      <c r="C117">
        <v>2</v>
      </c>
      <c r="D117">
        <f t="shared" ref="D117:D123" si="27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8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4">
      <c r="A118">
        <v>20</v>
      </c>
      <c r="B118">
        <v>50</v>
      </c>
      <c r="C118">
        <v>2</v>
      </c>
      <c r="D118">
        <f t="shared" si="27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8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4">
      <c r="A119">
        <v>20</v>
      </c>
      <c r="B119">
        <v>40</v>
      </c>
      <c r="C119">
        <v>2</v>
      </c>
      <c r="D119">
        <f t="shared" si="27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8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4">
      <c r="A120">
        <v>20</v>
      </c>
      <c r="B120">
        <v>30</v>
      </c>
      <c r="C120">
        <v>2</v>
      </c>
      <c r="D120">
        <f t="shared" si="27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8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4">
      <c r="A121" s="3">
        <v>20</v>
      </c>
      <c r="B121" s="3">
        <v>20</v>
      </c>
      <c r="C121" s="3">
        <v>2</v>
      </c>
      <c r="D121">
        <f t="shared" si="27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8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4">
      <c r="A122">
        <v>20</v>
      </c>
      <c r="B122">
        <v>15</v>
      </c>
      <c r="C122">
        <v>2</v>
      </c>
      <c r="D122">
        <f t="shared" si="27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8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4">
      <c r="A123">
        <v>20</v>
      </c>
      <c r="B123">
        <v>12</v>
      </c>
      <c r="C123">
        <v>2</v>
      </c>
      <c r="D123">
        <f t="shared" si="27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8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4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4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workbookViewId="0">
      <selection activeCell="G26" sqref="G26"/>
    </sheetView>
  </sheetViews>
  <sheetFormatPr defaultRowHeight="14.6" x14ac:dyDescent="0.4"/>
  <cols>
    <col min="1" max="1" width="26.921875" customWidth="1"/>
    <col min="2" max="2" width="14.69140625" customWidth="1"/>
    <col min="3" max="3" width="12.07421875" customWidth="1"/>
    <col min="4" max="4" width="11" customWidth="1"/>
    <col min="5" max="5" width="8.53515625" customWidth="1"/>
    <col min="6" max="6" width="11.3828125" customWidth="1"/>
    <col min="7" max="7" width="15.07421875" customWidth="1"/>
    <col min="8" max="8" width="10.15234375" customWidth="1"/>
    <col min="9" max="9" width="11.3828125" customWidth="1"/>
    <col min="10" max="10" width="15" bestFit="1" customWidth="1"/>
    <col min="11" max="11" width="16.921875" bestFit="1" customWidth="1"/>
    <col min="26" max="26" width="12.69140625" bestFit="1" customWidth="1"/>
    <col min="27" max="27" width="10.69140625" customWidth="1"/>
    <col min="28" max="28" width="13.84375" customWidth="1"/>
  </cols>
  <sheetData>
    <row r="1" spans="1:28" x14ac:dyDescent="0.4">
      <c r="G1">
        <v>121507.92454383519</v>
      </c>
      <c r="M1">
        <v>34653.411662680403</v>
      </c>
    </row>
    <row r="2" spans="1:28" x14ac:dyDescent="0.4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4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4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4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4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4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1" customFormat="1" x14ac:dyDescent="0.4">
      <c r="D8" s="22"/>
      <c r="E8" s="22"/>
      <c r="Q8" s="23"/>
      <c r="AA8" s="24"/>
      <c r="AB8" s="25"/>
    </row>
    <row r="9" spans="1:28" x14ac:dyDescent="0.4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 t="shared" ref="H9:Q9" si="5">H3</f>
        <v>282179.67123285797</v>
      </c>
      <c r="I9">
        <f t="shared" si="5"/>
        <v>0.82949143613233001</v>
      </c>
      <c r="J9">
        <f t="shared" si="5"/>
        <v>19739.4095985942</v>
      </c>
      <c r="K9">
        <f t="shared" si="5"/>
        <v>6280.2265894411403</v>
      </c>
      <c r="L9">
        <f t="shared" si="5"/>
        <v>0</v>
      </c>
      <c r="M9">
        <f t="shared" si="5"/>
        <v>26019.6361880353</v>
      </c>
      <c r="N9">
        <f t="shared" si="5"/>
        <v>50944.945205466604</v>
      </c>
      <c r="O9">
        <f t="shared" si="5"/>
        <v>15577.281609678699</v>
      </c>
      <c r="P9">
        <f t="shared" si="5"/>
        <v>19971.775208230301</v>
      </c>
      <c r="Q9">
        <f t="shared" si="5"/>
        <v>1462.3779549220301</v>
      </c>
      <c r="R9">
        <v>11020</v>
      </c>
      <c r="S9">
        <f t="shared" ref="S9:Y10" si="6">S3</f>
        <v>234065.620738292</v>
      </c>
      <c r="T9">
        <f t="shared" si="6"/>
        <v>1403.15815187257</v>
      </c>
      <c r="U9">
        <f t="shared" si="6"/>
        <v>34638.685534293101</v>
      </c>
      <c r="V9">
        <f t="shared" si="6"/>
        <v>865.96713835732805</v>
      </c>
      <c r="W9">
        <f t="shared" si="6"/>
        <v>0.1767383415172</v>
      </c>
      <c r="X9">
        <f t="shared" si="6"/>
        <v>38493.267558113897</v>
      </c>
      <c r="Y9">
        <f t="shared" si="6"/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4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 t="shared" ref="H10:Q10" si="7">H4</f>
        <v>282179.67123287602</v>
      </c>
      <c r="I10">
        <f t="shared" si="7"/>
        <v>0.83777275508208204</v>
      </c>
      <c r="J10">
        <f t="shared" si="7"/>
        <v>19752.187448396198</v>
      </c>
      <c r="K10">
        <f t="shared" si="7"/>
        <v>6300.5639513368096</v>
      </c>
      <c r="L10">
        <f t="shared" si="7"/>
        <v>0</v>
      </c>
      <c r="M10">
        <f t="shared" si="7"/>
        <v>26052.751399732999</v>
      </c>
      <c r="N10">
        <f t="shared" si="7"/>
        <v>50940.911465697704</v>
      </c>
      <c r="O10">
        <f t="shared" si="7"/>
        <v>17895.607600592499</v>
      </c>
      <c r="P10">
        <f t="shared" si="7"/>
        <v>19961.187604018101</v>
      </c>
      <c r="Q10">
        <f t="shared" si="7"/>
        <v>1462.3779549220301</v>
      </c>
      <c r="R10">
        <v>11020</v>
      </c>
      <c r="S10">
        <f t="shared" si="6"/>
        <v>236402.440596923</v>
      </c>
      <c r="T10">
        <f t="shared" si="6"/>
        <v>1407.70202217271</v>
      </c>
      <c r="U10">
        <f t="shared" si="6"/>
        <v>34730.9523834672</v>
      </c>
      <c r="V10">
        <f t="shared" si="6"/>
        <v>847.09639959676201</v>
      </c>
      <c r="W10">
        <f t="shared" si="6"/>
        <v>0.108985320449728</v>
      </c>
      <c r="X10">
        <f t="shared" si="6"/>
        <v>38694.883606707001</v>
      </c>
      <c r="Y10">
        <f t="shared" si="6"/>
        <v>304.684122887456</v>
      </c>
      <c r="Z10">
        <f>IF(A10=0,0,C10*931*(A10/0.43))</f>
        <v>2327.5</v>
      </c>
      <c r="AA10" s="10">
        <f t="shared" ref="AA10" si="8">O10-Z10</f>
        <v>15568.107600592499</v>
      </c>
      <c r="AB10" s="12">
        <f t="shared" si="2"/>
        <v>0.46792185071735731</v>
      </c>
    </row>
    <row r="11" spans="1:28" x14ac:dyDescent="0.4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9">O11-Z11</f>
        <v>15701.552509954701</v>
      </c>
      <c r="AB11" s="12">
        <f t="shared" si="2"/>
        <v>0.40263355404451467</v>
      </c>
    </row>
    <row r="12" spans="1:28" x14ac:dyDescent="0.4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9"/>
        <v>15923.318787562501</v>
      </c>
      <c r="AB12" s="12">
        <f t="shared" si="2"/>
        <v>0.36082050708979968</v>
      </c>
    </row>
    <row r="13" spans="1:28" x14ac:dyDescent="0.4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1" customFormat="1" x14ac:dyDescent="0.4">
      <c r="AA14" s="24"/>
      <c r="AB14" s="25"/>
    </row>
    <row r="15" spans="1:28" x14ac:dyDescent="0.4">
      <c r="A15" s="2">
        <v>0</v>
      </c>
      <c r="B15" s="2" t="s">
        <v>72</v>
      </c>
      <c r="C15">
        <v>5</v>
      </c>
      <c r="D15" t="s">
        <v>22</v>
      </c>
      <c r="E15" t="s">
        <v>21</v>
      </c>
      <c r="F15">
        <v>4</v>
      </c>
      <c r="G15">
        <f t="shared" ref="G15:G17" si="10">M15+N15+O15+P15+Q15-R15</f>
        <v>119671.73999245756</v>
      </c>
      <c r="H15">
        <v>282179.67123287602</v>
      </c>
      <c r="I15">
        <v>0.84963726109434301</v>
      </c>
      <c r="J15">
        <v>22359.428821747701</v>
      </c>
      <c r="K15">
        <v>9372.5859880418993</v>
      </c>
      <c r="L15">
        <v>0</v>
      </c>
      <c r="M15">
        <v>31732.014809789602</v>
      </c>
      <c r="N15">
        <v>50940.353227569998</v>
      </c>
      <c r="O15">
        <v>15564.9406689554</v>
      </c>
      <c r="P15">
        <v>19961.071769606599</v>
      </c>
      <c r="Q15">
        <v>1473.35951653596</v>
      </c>
      <c r="R15">
        <v>0</v>
      </c>
      <c r="S15">
        <v>239750.363002803</v>
      </c>
      <c r="T15">
        <v>1487.55655239671</v>
      </c>
      <c r="U15">
        <v>36747.9939583905</v>
      </c>
      <c r="V15">
        <v>816.62208796423499</v>
      </c>
      <c r="W15">
        <v>1.8327057548719501</v>
      </c>
      <c r="X15">
        <v>42963.301768188801</v>
      </c>
      <c r="Y15">
        <v>349.29513632673797</v>
      </c>
      <c r="Z15">
        <f>IF(A15=0,0,C15*931*(A15/0.43))</f>
        <v>0</v>
      </c>
      <c r="AA15" s="10">
        <f>O15-Z15</f>
        <v>15564.9406689554</v>
      </c>
      <c r="AB15" s="12">
        <f>(wrd_pricetater_flex_type_summar!$D$51-G15)/wrd_pricetater_flex_type_summar!$J$51</f>
        <v>0.65611296926286822</v>
      </c>
    </row>
    <row r="16" spans="1:28" x14ac:dyDescent="0.4">
      <c r="A16" s="2">
        <v>0.215</v>
      </c>
      <c r="B16" s="2" t="s">
        <v>72</v>
      </c>
      <c r="C16">
        <v>5</v>
      </c>
      <c r="D16" t="s">
        <v>22</v>
      </c>
      <c r="E16" t="s">
        <v>21</v>
      </c>
      <c r="F16">
        <v>4</v>
      </c>
      <c r="G16">
        <f t="shared" si="10"/>
        <v>122207.43848874117</v>
      </c>
      <c r="H16">
        <v>282179.67123287602</v>
      </c>
      <c r="I16">
        <v>0.85862337439302705</v>
      </c>
      <c r="J16">
        <v>22422.4091975925</v>
      </c>
      <c r="K16">
        <v>9246.5948656492601</v>
      </c>
      <c r="L16">
        <v>0</v>
      </c>
      <c r="M16">
        <v>31669.0040632417</v>
      </c>
      <c r="N16">
        <v>50981.234041832096</v>
      </c>
      <c r="O16">
        <v>18099.530680245101</v>
      </c>
      <c r="P16">
        <v>19984.310186886301</v>
      </c>
      <c r="Q16">
        <v>1473.35951653596</v>
      </c>
      <c r="R16">
        <v>0</v>
      </c>
      <c r="S16">
        <v>242286.06149908699</v>
      </c>
      <c r="T16">
        <v>1467.5600519750701</v>
      </c>
      <c r="U16">
        <v>37047.600328837303</v>
      </c>
      <c r="V16">
        <v>823.280007307495</v>
      </c>
      <c r="W16">
        <v>1.74944020492494</v>
      </c>
      <c r="X16">
        <v>43335.021637601203</v>
      </c>
      <c r="Y16">
        <v>352.31724908618901</v>
      </c>
      <c r="Z16">
        <f>IF(A16=0,0,C16*931*(A16/0.43))</f>
        <v>2327.5</v>
      </c>
      <c r="AA16" s="10">
        <f>O16-Z16</f>
        <v>15772.030680245101</v>
      </c>
      <c r="AB16" s="12">
        <f>(wrd_pricetater_flex_type_summar!$D$51-G16)/wrd_pricetater_flex_type_summar!$J$51</f>
        <v>0.62953913548825957</v>
      </c>
    </row>
    <row r="17" spans="1:28" x14ac:dyDescent="0.4">
      <c r="A17" s="2">
        <v>0.43</v>
      </c>
      <c r="B17" s="2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si="10"/>
        <v>123759.49613284627</v>
      </c>
      <c r="H17">
        <v>282179.67123286799</v>
      </c>
      <c r="I17">
        <v>0.86412362052107095</v>
      </c>
      <c r="J17">
        <v>22235.129466751401</v>
      </c>
      <c r="K17">
        <v>9205.4053509202495</v>
      </c>
      <c r="L17">
        <v>0</v>
      </c>
      <c r="M17">
        <v>31440.534817671702</v>
      </c>
      <c r="N17">
        <v>50868.697977035903</v>
      </c>
      <c r="O17">
        <v>20030.700516482098</v>
      </c>
      <c r="P17">
        <v>19946.203305120602</v>
      </c>
      <c r="Q17">
        <v>1473.35951653596</v>
      </c>
      <c r="R17">
        <v>0</v>
      </c>
      <c r="S17">
        <f>G17+$P$1</f>
        <v>123759.49613284627</v>
      </c>
      <c r="T17">
        <v>1461.0227171772699</v>
      </c>
      <c r="U17">
        <v>37816.4634857485</v>
      </c>
      <c r="V17">
        <v>822.09703229888203</v>
      </c>
      <c r="W17">
        <v>1.67282971584568</v>
      </c>
      <c r="X17">
        <v>43765.040311224599</v>
      </c>
      <c r="Y17">
        <v>358.72983861659498</v>
      </c>
      <c r="Z17">
        <f>IF(A17=0,0,C17*931*(A17/0.43))</f>
        <v>4655</v>
      </c>
      <c r="AA17" s="10">
        <f>O17-Z17</f>
        <v>15375.700516482098</v>
      </c>
      <c r="AB17" s="12">
        <f>(wrd_pricetater_flex_type_summar!$D$51-G17)/wrd_pricetater_flex_type_summar!$J$51</f>
        <v>0.61327374671924462</v>
      </c>
    </row>
    <row r="18" spans="1:28" x14ac:dyDescent="0.4">
      <c r="A18" s="2">
        <v>0.86</v>
      </c>
      <c r="B18" s="2" t="s">
        <v>72</v>
      </c>
      <c r="C18">
        <v>5</v>
      </c>
      <c r="D18" t="s">
        <v>22</v>
      </c>
      <c r="E18" t="s">
        <v>21</v>
      </c>
      <c r="F18">
        <v>4</v>
      </c>
      <c r="G18">
        <f t="shared" ref="G18:G19" si="11">M18+N18+O18+P18+Q18-R18</f>
        <v>128510.54538627157</v>
      </c>
      <c r="H18">
        <v>282179.67123288399</v>
      </c>
      <c r="I18">
        <v>0.88096058553932999</v>
      </c>
      <c r="J18">
        <v>22250.673834736099</v>
      </c>
      <c r="K18">
        <v>9244.6813880767095</v>
      </c>
      <c r="L18">
        <v>0</v>
      </c>
      <c r="M18">
        <v>31495.355222812799</v>
      </c>
      <c r="N18">
        <v>50878.4272491683</v>
      </c>
      <c r="O18">
        <v>24715.181268666001</v>
      </c>
      <c r="P18">
        <v>19948.222129088499</v>
      </c>
      <c r="Q18">
        <v>1473.35951653596</v>
      </c>
      <c r="R18">
        <v>0</v>
      </c>
      <c r="S18">
        <v>248589.16839661699</v>
      </c>
      <c r="T18">
        <v>1467.25635714281</v>
      </c>
      <c r="U18">
        <v>37808.968336081402</v>
      </c>
      <c r="V18">
        <v>821.934094262641</v>
      </c>
      <c r="W18">
        <v>1.54750201311078</v>
      </c>
      <c r="X18">
        <v>43921.314308243796</v>
      </c>
      <c r="Y18">
        <v>360.010773018392</v>
      </c>
      <c r="Z18">
        <f>IF(A18=0,0,C18*931*(A18/0.43))</f>
        <v>9310</v>
      </c>
      <c r="AA18" s="10">
        <f>O18-Z18</f>
        <v>15405.181268666001</v>
      </c>
      <c r="AB18" s="12">
        <f>(wrd_pricetater_flex_type_summar!$D$51-G18)/wrd_pricetater_flex_type_summar!$J$51</f>
        <v>0.56348328728546615</v>
      </c>
    </row>
    <row r="19" spans="1:28" x14ac:dyDescent="0.4">
      <c r="A19" s="2">
        <v>1.29</v>
      </c>
      <c r="B19" s="2" t="s">
        <v>72</v>
      </c>
      <c r="C19">
        <v>5</v>
      </c>
      <c r="D19" t="s">
        <v>22</v>
      </c>
      <c r="E19" t="s">
        <v>21</v>
      </c>
      <c r="F19">
        <v>4</v>
      </c>
      <c r="G19">
        <f t="shared" si="11"/>
        <v>133101.99841632816</v>
      </c>
      <c r="H19">
        <v>282179.67123286898</v>
      </c>
      <c r="I19">
        <v>0.89723196685467799</v>
      </c>
      <c r="J19">
        <v>22239.845837604698</v>
      </c>
      <c r="K19">
        <v>9215.99935297312</v>
      </c>
      <c r="L19">
        <v>0</v>
      </c>
      <c r="M19">
        <v>31455.845190577798</v>
      </c>
      <c r="N19">
        <v>50871.400221928801</v>
      </c>
      <c r="O19">
        <v>29354.629466349801</v>
      </c>
      <c r="P19">
        <v>19946.7640209358</v>
      </c>
      <c r="Q19">
        <v>1473.35951653596</v>
      </c>
      <c r="R19">
        <v>0</v>
      </c>
      <c r="S19">
        <v>253180.62142667401</v>
      </c>
      <c r="T19">
        <v>1462.70412903026</v>
      </c>
      <c r="U19">
        <v>37658.737638395498</v>
      </c>
      <c r="V19">
        <v>818.66820953033698</v>
      </c>
      <c r="W19">
        <v>1.43175276084397</v>
      </c>
      <c r="X19">
        <v>43571.5293994557</v>
      </c>
      <c r="Y19">
        <v>357.14368360209602</v>
      </c>
      <c r="Z19">
        <f>IF(A19=0,0,C19*931*(A19/0.43))</f>
        <v>13965</v>
      </c>
      <c r="AA19" s="10">
        <f>O19-Z19</f>
        <v>15389.629466349801</v>
      </c>
      <c r="AB19" s="12">
        <f>(wrd_pricetater_flex_type_summar!$D$51-G19)/wrd_pricetater_flex_type_summar!$J$51</f>
        <v>0.51536537824246598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6" x14ac:dyDescent="0.4"/>
  <cols>
    <col min="2" max="2" width="12.61328125" customWidth="1"/>
    <col min="3" max="3" width="9.69140625" customWidth="1"/>
    <col min="4" max="4" width="12.4609375" customWidth="1"/>
    <col min="5" max="5" width="14" customWidth="1"/>
    <col min="6" max="6" width="20.921875" bestFit="1" customWidth="1"/>
    <col min="7" max="7" width="12.23046875" customWidth="1"/>
    <col min="8" max="8" width="18.53515625" customWidth="1"/>
    <col min="9" max="9" width="20.15234375" bestFit="1" customWidth="1"/>
    <col min="10" max="10" width="17.07421875" bestFit="1" customWidth="1"/>
    <col min="11" max="11" width="9.3828125" bestFit="1" customWidth="1"/>
    <col min="12" max="12" width="10.23046875" customWidth="1"/>
    <col min="13" max="13" width="9.3828125" bestFit="1" customWidth="1"/>
    <col min="14" max="14" width="12.15234375" customWidth="1"/>
  </cols>
  <sheetData>
    <row r="3" spans="1:16" x14ac:dyDescent="0.4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4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10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4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10">
        <v>25825.974624668099</v>
      </c>
      <c r="H5" s="10">
        <f>(J14+K14+L14)-(J19+K19+L19)</f>
        <v>-12815.109372157822</v>
      </c>
    </row>
    <row r="6" spans="1:16" x14ac:dyDescent="0.4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10">
        <v>29978.252519511701</v>
      </c>
      <c r="H6" s="10">
        <f t="shared" ref="H6:H8" si="0">(J15+K15+L15)-(J20+K20+L20)</f>
        <v>1000.8858604910201</v>
      </c>
      <c r="I6" s="13">
        <f>(G6+H6-F6)/F6*100</f>
        <v>-10.60639064705564</v>
      </c>
    </row>
    <row r="7" spans="1:16" x14ac:dyDescent="0.4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10">
        <v>34616.141121013003</v>
      </c>
      <c r="H7" s="10">
        <f t="shared" si="0"/>
        <v>-13034.940154857992</v>
      </c>
    </row>
    <row r="8" spans="1:16" x14ac:dyDescent="0.4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10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4">
      <c r="B9" t="s">
        <v>78</v>
      </c>
      <c r="D9" s="10">
        <v>394716</v>
      </c>
    </row>
    <row r="11" spans="1:16" x14ac:dyDescent="0.4">
      <c r="A11" t="s">
        <v>83</v>
      </c>
    </row>
    <row r="12" spans="1:16" x14ac:dyDescent="0.4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4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0">
        <v>188119.78330000001</v>
      </c>
      <c r="G13" s="20">
        <v>200683.70370000001</v>
      </c>
      <c r="H13" s="20">
        <v>13644.59908</v>
      </c>
      <c r="I13" s="20">
        <v>8296.7277529999992</v>
      </c>
      <c r="J13" s="20">
        <v>33953.835149999999</v>
      </c>
      <c r="K13" s="20">
        <v>10359.425139999999</v>
      </c>
      <c r="L13" s="20">
        <v>12877.13408</v>
      </c>
      <c r="M13" s="20">
        <v>21941.326830000002</v>
      </c>
      <c r="N13" s="20">
        <v>1409.83743</v>
      </c>
      <c r="O13" s="16">
        <v>0</v>
      </c>
      <c r="P13" s="16">
        <v>1.0667868110000001</v>
      </c>
    </row>
    <row r="14" spans="1:16" x14ac:dyDescent="0.4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0">
        <v>235149.72602739499</v>
      </c>
      <c r="G14" s="20">
        <v>219262.567779392</v>
      </c>
      <c r="H14" s="20">
        <v>16362.727098568001</v>
      </c>
      <c r="I14" s="20">
        <v>9463.2475261001691</v>
      </c>
      <c r="J14" s="20">
        <v>42544.121004540699</v>
      </c>
      <c r="K14" s="20">
        <v>13222.943008009999</v>
      </c>
      <c r="L14" s="20">
        <v>16117.5466152914</v>
      </c>
      <c r="M14" s="20">
        <v>25825.974624668099</v>
      </c>
      <c r="N14" s="20">
        <v>1425.19885437316</v>
      </c>
      <c r="O14" s="16">
        <v>0.107784431137724</v>
      </c>
      <c r="P14" s="16">
        <v>0.93243811712477798</v>
      </c>
    </row>
    <row r="15" spans="1:16" x14ac:dyDescent="0.4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0">
        <v>282179.67123257701</v>
      </c>
      <c r="G15" s="20">
        <v>237975.63378803901</v>
      </c>
      <c r="H15" s="20">
        <v>19793.405782867099</v>
      </c>
      <c r="I15" s="20">
        <v>10184.8467366445</v>
      </c>
      <c r="J15" s="20">
        <v>51100.150850479702</v>
      </c>
      <c r="K15" s="20">
        <v>15994.396781481701</v>
      </c>
      <c r="L15" s="20">
        <v>19350.851109684401</v>
      </c>
      <c r="M15" s="20">
        <v>29978.252519511701</v>
      </c>
      <c r="N15" s="20">
        <v>1433.00578662475</v>
      </c>
      <c r="O15" s="16">
        <v>0.16167664670658599</v>
      </c>
      <c r="P15" s="16">
        <v>0.84334790223742195</v>
      </c>
    </row>
    <row r="16" spans="1:16" x14ac:dyDescent="0.4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0">
        <v>329210.46374056302</v>
      </c>
      <c r="G16" s="20">
        <v>256066.1476925</v>
      </c>
      <c r="H16" s="20">
        <v>23209.551664587099</v>
      </c>
      <c r="I16" s="20">
        <v>11406.5894564259</v>
      </c>
      <c r="J16" s="20">
        <v>59371.758428007903</v>
      </c>
      <c r="K16" s="20">
        <v>18001.101366829</v>
      </c>
      <c r="L16" s="20">
        <v>22525.164249769001</v>
      </c>
      <c r="M16" s="20">
        <v>34616.141121013003</v>
      </c>
      <c r="N16" s="20">
        <v>1433.00578662475</v>
      </c>
      <c r="O16" s="16">
        <v>0.16167664670658599</v>
      </c>
      <c r="P16" s="16">
        <v>0.77781898176327602</v>
      </c>
    </row>
    <row r="17" spans="1:16" x14ac:dyDescent="0.4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0">
        <v>376239.56164383498</v>
      </c>
      <c r="G17" s="20">
        <v>279542.18685761699</v>
      </c>
      <c r="H17" s="20">
        <v>27786.2889118024</v>
      </c>
      <c r="I17" s="20">
        <v>16122.056810759999</v>
      </c>
      <c r="J17" s="20">
        <v>67830.922645459694</v>
      </c>
      <c r="K17" s="20">
        <v>20512.593102821898</v>
      </c>
      <c r="L17" s="20">
        <v>25738.3428598918</v>
      </c>
      <c r="M17" s="20">
        <v>43908.345722562502</v>
      </c>
      <c r="N17" s="20">
        <v>1422.6154123410699</v>
      </c>
      <c r="O17" s="16">
        <v>8.9820359281437098E-2</v>
      </c>
      <c r="P17" s="16">
        <v>0.74298988026741397</v>
      </c>
    </row>
    <row r="18" spans="1:16" x14ac:dyDescent="0.4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4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4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4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4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2026-09-15T01:22:20Z</dcterms:modified>
</cp:coreProperties>
</file>