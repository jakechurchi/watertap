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169DF754-40E9-412C-870E-BBCC602FB4C8}" xr6:coauthVersionLast="47" xr6:coauthVersionMax="47" xr10:uidLastSave="{00000000-0000-0000-0000-000000000000}"/>
  <bookViews>
    <workbookView xWindow="-110" yWindow="-110" windowWidth="19420" windowHeight="10300" activeTab="2" xr2:uid="{C549BF93-41CE-4809-A3B1-A16DB1FF836F}"/>
  </bookViews>
  <sheets>
    <sheet name="wrd_pricetater_flex_type_summar" sheetId="1" r:id="rId1"/>
    <sheet name="Understanding DR Result" sheetId="2" r:id="rId2"/>
    <sheet name="SA - Start-Up Cost" sheetId="3" r:id="rId3"/>
    <sheet name="SA - Water Targ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6" i="3" l="1"/>
  <c r="Z16" i="3"/>
  <c r="G16" i="3"/>
  <c r="Z19" i="3"/>
  <c r="AA19" i="3" s="1"/>
  <c r="G17" i="3"/>
  <c r="S17" i="3" s="1"/>
  <c r="G19" i="3"/>
  <c r="G18" i="3"/>
  <c r="AA18" i="3"/>
  <c r="Z18" i="3"/>
  <c r="Z5" i="3"/>
  <c r="Z13" i="3"/>
  <c r="Z17" i="3"/>
  <c r="AA17" i="3" s="1"/>
  <c r="G12" i="3"/>
  <c r="AB12" i="3" s="1"/>
  <c r="G11" i="3"/>
  <c r="Z12" i="3"/>
  <c r="AA12" i="3" s="1"/>
  <c r="Z10" i="3"/>
  <c r="I8" i="4"/>
  <c r="I6" i="4"/>
  <c r="I4" i="4"/>
  <c r="H5" i="4"/>
  <c r="H6" i="4"/>
  <c r="H7" i="4"/>
  <c r="H8" i="4"/>
  <c r="H4" i="4"/>
  <c r="C22" i="4"/>
  <c r="C21" i="4"/>
  <c r="C20" i="4"/>
  <c r="C19" i="4"/>
  <c r="C18" i="4"/>
  <c r="C16" i="4"/>
  <c r="C17" i="4"/>
  <c r="C15" i="4"/>
  <c r="C14" i="4"/>
  <c r="C13" i="4"/>
  <c r="E4" i="4"/>
  <c r="E8" i="4"/>
  <c r="E7" i="4"/>
  <c r="E6" i="4"/>
  <c r="E5" i="4"/>
  <c r="O13" i="3" l="1"/>
  <c r="G13" i="3" s="1"/>
  <c r="AB13" i="3" s="1"/>
  <c r="AB11" i="3"/>
  <c r="AB6" i="3"/>
  <c r="Y10" i="3"/>
  <c r="X10" i="3"/>
  <c r="W10" i="3"/>
  <c r="V10" i="3"/>
  <c r="U10" i="3"/>
  <c r="T10" i="3"/>
  <c r="S10" i="3"/>
  <c r="Q10" i="3"/>
  <c r="P10" i="3"/>
  <c r="O10" i="3"/>
  <c r="AA10" i="3" s="1"/>
  <c r="N10" i="3"/>
  <c r="M10" i="3"/>
  <c r="L10" i="3"/>
  <c r="K10" i="3"/>
  <c r="J10" i="3"/>
  <c r="I10" i="3"/>
  <c r="H10" i="3"/>
  <c r="Z9" i="3"/>
  <c r="G3" i="3"/>
  <c r="AB3" i="3" s="1"/>
  <c r="G4" i="3"/>
  <c r="AB4" i="3" s="1"/>
  <c r="G5" i="3"/>
  <c r="S5" i="3" s="1"/>
  <c r="G6" i="3"/>
  <c r="G7" i="3"/>
  <c r="AB7" i="3" s="1"/>
  <c r="Y9" i="3"/>
  <c r="X9" i="3"/>
  <c r="W9" i="3"/>
  <c r="V9" i="3"/>
  <c r="U9" i="3"/>
  <c r="T9" i="3"/>
  <c r="S9" i="3"/>
  <c r="Q9" i="3"/>
  <c r="P9" i="3"/>
  <c r="O9" i="3"/>
  <c r="AA9" i="3" s="1"/>
  <c r="N9" i="3"/>
  <c r="M9" i="3"/>
  <c r="L9" i="3"/>
  <c r="K9" i="3"/>
  <c r="J9" i="3"/>
  <c r="I9" i="3"/>
  <c r="H9" i="3"/>
  <c r="Z11" i="3"/>
  <c r="AA11" i="3" s="1"/>
  <c r="Z7" i="3"/>
  <c r="AA7" i="3" s="1"/>
  <c r="Z6" i="3"/>
  <c r="AA6" i="3" s="1"/>
  <c r="AA5" i="3"/>
  <c r="Z3" i="3"/>
  <c r="AA3" i="3" s="1"/>
  <c r="Z4" i="3"/>
  <c r="AA4" i="3" s="1"/>
  <c r="S11" i="3"/>
  <c r="S7" i="3"/>
  <c r="S6" i="3"/>
  <c r="K8" i="2"/>
  <c r="J8" i="2"/>
  <c r="I8" i="2"/>
  <c r="H8" i="2"/>
  <c r="G8" i="2"/>
  <c r="F8" i="2"/>
  <c r="E8" i="2"/>
  <c r="D8" i="2"/>
  <c r="D113" i="1"/>
  <c r="P112" i="1"/>
  <c r="D112" i="1"/>
  <c r="N109" i="1"/>
  <c r="M109" i="1"/>
  <c r="L109" i="1"/>
  <c r="K109" i="1"/>
  <c r="J109" i="1"/>
  <c r="I109" i="1"/>
  <c r="H109" i="1"/>
  <c r="G109" i="1"/>
  <c r="F109" i="1"/>
  <c r="E109" i="1"/>
  <c r="D108" i="1"/>
  <c r="P108" i="1" s="1"/>
  <c r="D107" i="1"/>
  <c r="P107" i="1" s="1"/>
  <c r="J96" i="1"/>
  <c r="D62" i="1"/>
  <c r="P62" i="1" s="1"/>
  <c r="D95" i="1"/>
  <c r="P95" i="1" s="1"/>
  <c r="L103" i="1"/>
  <c r="D103" i="1" s="1"/>
  <c r="P103" i="1" s="1"/>
  <c r="L100" i="1"/>
  <c r="D100" i="1" s="1"/>
  <c r="P100" i="1" s="1"/>
  <c r="D104" i="1"/>
  <c r="P104" i="1" s="1"/>
  <c r="D101" i="1"/>
  <c r="P101" i="1" s="1"/>
  <c r="D89" i="1"/>
  <c r="P89" i="1" s="1"/>
  <c r="I11" i="2"/>
  <c r="I17" i="2"/>
  <c r="D57" i="1"/>
  <c r="P57" i="1" s="1"/>
  <c r="D76" i="1"/>
  <c r="K5" i="1"/>
  <c r="K58" i="1" s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23" i="1"/>
  <c r="P123" i="1" s="1"/>
  <c r="D122" i="1"/>
  <c r="P122" i="1" s="1"/>
  <c r="D121" i="1"/>
  <c r="P121" i="1" s="1"/>
  <c r="D120" i="1"/>
  <c r="P120" i="1" s="1"/>
  <c r="D119" i="1"/>
  <c r="P119" i="1" s="1"/>
  <c r="D118" i="1"/>
  <c r="P118" i="1" s="1"/>
  <c r="D117" i="1"/>
  <c r="P117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G9" i="3" l="1"/>
  <c r="AB9" i="3" s="1"/>
  <c r="AA13" i="3"/>
  <c r="AB5" i="3"/>
  <c r="G10" i="3"/>
  <c r="AB10" i="3" s="1"/>
  <c r="D109" i="1"/>
  <c r="D17" i="2"/>
  <c r="K105" i="1"/>
  <c r="K102" i="1"/>
  <c r="D11" i="2"/>
  <c r="K70" i="1"/>
  <c r="P69" i="1"/>
  <c r="D69" i="1"/>
  <c r="D29" i="2"/>
  <c r="D31" i="2"/>
  <c r="D27" i="2"/>
  <c r="D25" i="2"/>
  <c r="D23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tc={3B63C6BF-9DE1-4172-A721-F97EE0406603}</author>
    <author>tc={FE798470-8A4D-4C72-9935-5EF1B8A7CFB6}</author>
    <author>tc={9D93D39A-4E12-4E91-8443-F39D5B5EA779}</author>
    <author>tc={9585276E-E9B8-4AFF-9F58-E3ADC73D024E}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1" authorId="22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4" authorId="23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A107" authorId="24" shapeId="0" xr:uid="{9D93D39A-4E12-4E91-8443-F39D5B5EA779}">
      <text>
        <t>[Threaded comment]
Your version of Excel allows you to read this threaded comment; however, any edits to it will get removed if the file is opened in a newer version of Excel. Learn more: https://go.microsoft.com/fwlink/?linkid=870924
Comment:
    Working Hours = 8 AM to 5 PM</t>
      </text>
    </comment>
    <comment ref="A112" authorId="25" shapeId="0" xr:uid="{9585276E-E9B8-4AFF-9F58-E3ADC73D024E}">
      <text>
        <t>[Threaded comment]
Your version of Excel allows you to read this threaded comment; however, any edits to it will get removed if the file is opened in a newer version of Excel. Learn more: https://go.microsoft.com/fwlink/?linkid=870924
Comment:
    Five Shutdowns</t>
      </text>
    </comment>
    <comment ref="T120" authorId="26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tc={91B01F22-295E-46BB-ACCB-2E4ED162A079}</author>
    <author>tc={338E2122-408B-451A-85D7-EF9A92A8E19E}</author>
    <author>tc={82E3A100-DFFE-4CB2-B9B2-E28BF20128AB}</author>
    <author>tc={30E6622D-E007-41AB-B0B0-A6FA07445B38}</author>
    <author>tc={CC2FED43-9317-4942-84AB-D91CBD6CC0A1}</author>
    <author>tc={964F0726-9326-406D-BF37-7999B0A6D102}</author>
  </authors>
  <commentList>
    <comment ref="G2" authorId="0" shapeId="0" xr:uid="{91B01F22-295E-46BB-ACCB-2E4ED162A07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V2" authorId="1" shapeId="0" xr:uid="{338E2122-408B-451A-85D7-EF9A92A8E1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5" authorId="2" shapeId="0" xr:uid="{82E3A100-DFFE-4CB2-B9B2-E28BF20128AB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costs don’t change the solution because it avoids shutdowns
Reply:
    Start-Up cost = $931 per start-up</t>
      </text>
    </comment>
    <comment ref="D9" authorId="3" shapeId="0" xr:uid="{30E6622D-E007-41AB-B0B0-A6FA07445B38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Cost will change</t>
      </text>
    </comment>
    <comment ref="A11" authorId="4" shapeId="0" xr:uid="{CC2FED43-9317-4942-84AB-D91CBD6CC0A1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solution remains the same at lower start-up costs</t>
      </text>
    </comment>
    <comment ref="O13" authorId="5" shapeId="0" xr:uid="{964F0726-9326-406D-BF37-7999B0A6D10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Calculated by manually adding in the cost of startup</t>
      </text>
    </comment>
  </commentList>
</comments>
</file>

<file path=xl/sharedStrings.xml><?xml version="1.0" encoding="utf-8"?>
<sst xmlns="http://schemas.openxmlformats.org/spreadsheetml/2006/main" count="353" uniqueCount="103">
  <si>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</si>
  <si>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</si>
  <si>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</si>
  <si>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</si>
  <si>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</si>
  <si>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</si>
  <si>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</si>
  <si>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</si>
  <si>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</si>
  <si>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</si>
  <si>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</si>
  <si>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</si>
  <si>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</si>
  <si>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</si>
  <si>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</si>
  <si>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</si>
  <si>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</si>
  <si>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</si>
  <si>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</si>
  <si>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</si>
  <si>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</si>
  <si>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</si>
  <si>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</si>
  <si>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</si>
  <si>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</si>
  <si>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</si>
  <si>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</si>
  <si>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</si>
  <si>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</si>
  <si>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</si>
  <si>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</si>
  <si>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</si>
  <si>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</si>
  <si>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</si>
  <si>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</si>
  <si>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</si>
  <si>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</si>
  <si>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</si>
  <si>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</si>
  <si>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</si>
  <si>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</si>
  <si>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</si>
  <si>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</si>
  <si>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</si>
  <si>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</si>
  <si>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</si>
  <si>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</si>
  <si>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</si>
  <si>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</si>
  <si>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</si>
  <si>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</si>
  <si>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</si>
  <si>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</si>
  <si>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</si>
  <si>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</si>
  <si>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</si>
  <si>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</si>
  <si>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</si>
  <si>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</si>
  <si>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</si>
  <si>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</si>
  <si>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</si>
  <si>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</si>
  <si>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</si>
  <si>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</si>
  <si>
    <t>Working Hours</t>
  </si>
  <si>
    <t>No Brine Cost During Startup</t>
  </si>
  <si>
    <t>BRINE COST DURING STARTUP</t>
  </si>
  <si>
    <t>Rate Structure</t>
  </si>
  <si>
    <t>TOU3</t>
  </si>
  <si>
    <t>Shutdowns</t>
  </si>
  <si>
    <t>TOU3 + DR</t>
  </si>
  <si>
    <t>RTP</t>
  </si>
  <si>
    <t>Start-Up Costs</t>
  </si>
  <si>
    <t>Brine Minus Start-up Costs</t>
  </si>
  <si>
    <t>Percent Savings</t>
  </si>
  <si>
    <t>Annual AF</t>
  </si>
  <si>
    <t>Weekly Water</t>
  </si>
  <si>
    <t>MAX</t>
  </si>
  <si>
    <t>Plant Capacity</t>
  </si>
  <si>
    <t>Baseline Electricity Cost</t>
  </si>
  <si>
    <t>Flexible Electricity Costs</t>
  </si>
  <si>
    <t>Flow Cost Increase</t>
  </si>
  <si>
    <t>RESULTS</t>
  </si>
  <si>
    <t>Summer</t>
  </si>
  <si>
    <t>Total OPEX Cost</t>
  </si>
  <si>
    <t>Annual Production (AF)</t>
  </si>
  <si>
    <t>Number of Allowed Shutdowns</t>
  </si>
  <si>
    <t>Total Cost ($)</t>
  </si>
  <si>
    <t>Total Energy Cost ($)</t>
  </si>
  <si>
    <t>Total Demand Cost ($)</t>
  </si>
  <si>
    <t>Total Feed Cost ($)</t>
  </si>
  <si>
    <t>Total Brine Cost ($)</t>
  </si>
  <si>
    <t>Total Chemical Cost ($)</t>
  </si>
  <si>
    <t>Total Electricity Cost ($)</t>
  </si>
  <si>
    <t>Total Replacement Cost ($)</t>
  </si>
  <si>
    <t>Degree of Flexibility</t>
  </si>
  <si>
    <t>Levelized Cost of Water ($/m3)</t>
  </si>
  <si>
    <t>Flexible</t>
  </si>
  <si>
    <t>Y</t>
  </si>
  <si>
    <t>N</t>
  </si>
  <si>
    <t>TWO TRAINS</t>
  </si>
  <si>
    <t>FOUR TRAINS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</si>
</sst>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10" xfId="0" applyBorder="1"/>
    <xf numFmtId="0" fontId="0" fillId="0" borderId="11" xfId="0" applyBorder="1"/>
    <xf numFmtId="1" fontId="0" fillId="0" borderId="11" xfId="0" applyNumberFormat="1" applyBorder="1"/>
    <xf numFmtId="0" fontId="13" fillId="33" borderId="10" xfId="0" applyFont="1" applyFill="1" applyBorder="1"/>
    <xf numFmtId="0" fontId="13" fillId="33" borderId="11" xfId="0" applyFont="1" applyFill="1" applyBorder="1"/>
    <xf numFmtId="2" fontId="0" fillId="0" borderId="11" xfId="0" applyNumberFormat="1" applyBorder="1"/>
    <xf numFmtId="0" fontId="0" fillId="34" borderId="0" xfId="0" applyFill="1"/>
    <xf numFmtId="0" fontId="19" fillId="34" borderId="0" xfId="0" applyFont="1" applyFill="1"/>
    <xf numFmtId="0" fontId="18" fillId="34" borderId="0" xfId="0" applyFont="1" applyFill="1"/>
    <xf numFmtId="1" fontId="0" fillId="34" borderId="0" xfId="0" applyNumberFormat="1" applyFill="1"/>
    <xf numFmtId="164" fontId="0" fillId="34" borderId="0" xfId="0" applyNumberFormat="1" applyFill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1" dT="2026-08-09T17:04:16.49" personId="{114E4FE4-B7B1-4FA3-A72A-3A97E9B9C3CF}" id="{3B63C6BF-9DE1-4172-A721-F97EE0406603}">
    <text>2.5x higher brine costs (1.08$/m3)</text>
  </threadedComment>
  <threadedComment ref="A104" dT="2026-08-09T17:05:17.32" personId="{114E4FE4-B7B1-4FA3-A72A-3A97E9B9C3CF}" id="{FE798470-8A4D-4C72-9935-5EF1B8A7CFB6}">
    <text>5x brine costs (2.15 $/m3)</text>
  </threadedComment>
  <threadedComment ref="A107" dT="2026-08-18T21:09:34.88" personId="{114E4FE4-B7B1-4FA3-A72A-3A97E9B9C3CF}" id="{9D93D39A-4E12-4E91-8443-F39D5B5EA779}">
    <text>Working Hours = 8 AM to 5 PM</text>
  </threadedComment>
  <threadedComment ref="A112" dT="2026-08-28T19:35:29.57" personId="{114E4FE4-B7B1-4FA3-A72A-3A97E9B9C3CF}" id="{9585276E-E9B8-4AFF-9F58-E3ADC73D024E}">
    <text>Five Shutdowns</text>
  </threadedComment>
  <threadedComment ref="T120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2" dT="2026-07-20T22:02:04.36" personId="{114E4FE4-B7B1-4FA3-A72A-3A97E9B9C3CF}" id="{91B01F22-295E-46BB-ACCB-2E4ED162A079}">
    <text>This should be a formula</text>
  </threadedComment>
  <threadedComment ref="V2" dT="2026-07-15T22:57:33.93" personId="{114E4FE4-B7B1-4FA3-A72A-3A97E9B9C3CF}" id="{338E2122-408B-451A-85D7-EF9A92A8E19E}">
    <text>This isn’t being calculated correctly...</text>
  </threadedComment>
  <threadedComment ref="A5" dT="2026-08-28T23:13:11.99" personId="{114E4FE4-B7B1-4FA3-A72A-3A97E9B9C3CF}" id="{82E3A100-DFFE-4CB2-B9B2-E28BF20128AB}">
    <text>Higher costs don’t change the solution because it avoids shutdowns</text>
  </threadedComment>
  <threadedComment ref="A5" dT="2026-08-31T17:57:51.22" personId="{114E4FE4-B7B1-4FA3-A72A-3A97E9B9C3CF}" id="{1FC0AE2E-0EBB-40CC-B526-FA3520550037}" parentId="{82E3A100-DFFE-4CB2-B9B2-E28BF20128AB}">
    <text>Start-Up cost = $931 per start-up</text>
  </threadedComment>
  <threadedComment ref="D9" dT="2026-08-31T16:54:44.56" personId="{114E4FE4-B7B1-4FA3-A72A-3A97E9B9C3CF}" id="{30E6622D-E007-41AB-B0B0-A6FA07445B38}">
    <text>Total Cost will change</text>
  </threadedComment>
  <threadedComment ref="A11" dT="2026-08-31T17:37:31.17" personId="{114E4FE4-B7B1-4FA3-A72A-3A97E9B9C3CF}" id="{CC2FED43-9317-4942-84AB-D91CBD6CC0A1}">
    <text>Assuming solution remains the same at lower start-up costs</text>
  </threadedComment>
  <threadedComment ref="O13" dT="2026-08-31T20:52:23.61" personId="{114E4FE4-B7B1-4FA3-A72A-3A97E9B9C3CF}" id="{964F0726-9326-406D-BF37-7999B0A6D102}">
    <text>Calculated by manually adding in the cost of startup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23"/>
  <sheetViews>
    <sheetView topLeftCell="G47" zoomScale="110" zoomScaleNormal="110" workbookViewId="0">
      <selection activeCell="A57" sqref="A57:V57"/>
    </sheetView>
  </sheetViews>
  <sheetFormatPr defaultRowHeight="14.5" x14ac:dyDescent="0.35"/>
  <cols>
    <col min="1" max="1" width="9.6328125" customWidth="1"/>
    <col min="3" max="3" width="10.81640625" customWidth="1"/>
    <col min="4" max="4" width="9" bestFit="1" customWidth="1"/>
    <col min="5" max="5" width="10.26953125" customWidth="1"/>
    <col min="6" max="6" width="11.81640625" bestFit="1" customWidth="1"/>
    <col min="7" max="7" width="10.7265625" customWidth="1"/>
    <col min="9" max="9" width="9.08984375" customWidth="1"/>
    <col min="11" max="11" width="10.81640625" bestFit="1" customWidth="1"/>
    <col min="15" max="15" width="9.54296875" customWidth="1"/>
    <col min="16" max="16" width="9.81640625" bestFit="1" customWidth="1"/>
    <col min="20" max="20" width="7.81640625" customWidth="1"/>
  </cols>
  <sheetData>
    <row r="1" spans="1:22" x14ac:dyDescent="0.35">
      <c r="A1" s="1" t="s">
        <v>28</v>
      </c>
      <c r="O1" t="s">
        <v>43</v>
      </c>
      <c r="P1">
        <v>120559.67181899652</v>
      </c>
    </row>
    <row r="2" spans="1:22" x14ac:dyDescent="0.35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35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35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35">
      <c r="G5" s="4"/>
      <c r="K5" s="10">
        <f>K4+L4+M4</f>
        <v>85444.512881154791</v>
      </c>
    </row>
    <row r="6" spans="1:22" x14ac:dyDescent="0.35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35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35">
      <c r="G8" s="4"/>
    </row>
    <row r="9" spans="1:22" x14ac:dyDescent="0.35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35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35">
      <c r="G11" s="4"/>
    </row>
    <row r="12" spans="1:22" x14ac:dyDescent="0.35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35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35">
      <c r="G14" s="4"/>
    </row>
    <row r="15" spans="1:22" hidden="1" x14ac:dyDescent="0.35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35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35">
      <c r="G17" s="4"/>
    </row>
    <row r="18" spans="1:22" x14ac:dyDescent="0.35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35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35">
      <c r="A20" s="5"/>
      <c r="B20" s="5"/>
      <c r="K20">
        <f>K19+L19+M19</f>
        <v>85444.512881154995</v>
      </c>
      <c r="S20" s="2"/>
    </row>
    <row r="21" spans="1:22" x14ac:dyDescent="0.35">
      <c r="A21" t="s">
        <v>20</v>
      </c>
      <c r="B21" t="s">
        <v>25</v>
      </c>
      <c r="C21">
        <v>2</v>
      </c>
    </row>
    <row r="22" spans="1:22" x14ac:dyDescent="0.35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35">
      <c r="G23" s="4"/>
    </row>
    <row r="24" spans="1:22" x14ac:dyDescent="0.35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35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35">
      <c r="A26" s="6"/>
      <c r="B26" s="6"/>
    </row>
    <row r="27" spans="1:22" x14ac:dyDescent="0.35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35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35">
      <c r="G29" s="4"/>
    </row>
    <row r="30" spans="1:22" x14ac:dyDescent="0.35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35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35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35">
      <c r="A33" s="26" t="s">
        <v>45</v>
      </c>
      <c r="B33" s="26"/>
      <c r="C33" s="26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35">
      <c r="A34" s="2"/>
      <c r="B34" s="2"/>
      <c r="K34" s="10"/>
    </row>
    <row r="35" spans="1:22" x14ac:dyDescent="0.35">
      <c r="A35" s="7" t="s">
        <v>38</v>
      </c>
      <c r="B35" s="2"/>
      <c r="S35" s="2"/>
    </row>
    <row r="36" spans="1:22" x14ac:dyDescent="0.35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35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35">
      <c r="A38" s="7"/>
      <c r="B38" s="2"/>
      <c r="S38" s="2"/>
    </row>
    <row r="39" spans="1:22" x14ac:dyDescent="0.35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35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35">
      <c r="A41" s="3"/>
    </row>
    <row r="42" spans="1:22" x14ac:dyDescent="0.35">
      <c r="A42" s="7" t="s">
        <v>41</v>
      </c>
    </row>
    <row r="43" spans="1:22" x14ac:dyDescent="0.35">
      <c r="A43" s="3" t="s">
        <v>20</v>
      </c>
    </row>
    <row r="44" spans="1:22" x14ac:dyDescent="0.35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35">
      <c r="A45" s="3"/>
    </row>
    <row r="46" spans="1:22" x14ac:dyDescent="0.35">
      <c r="A46" s="3" t="s">
        <v>20</v>
      </c>
    </row>
    <row r="47" spans="1:22" x14ac:dyDescent="0.35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35">
      <c r="A49" s="1" t="s">
        <v>27</v>
      </c>
      <c r="G49" s="4"/>
    </row>
    <row r="50" spans="1:22" x14ac:dyDescent="0.35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6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35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35">
      <c r="A52" s="3"/>
      <c r="G52" s="4"/>
    </row>
    <row r="53" spans="1:22" x14ac:dyDescent="0.35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35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35">
      <c r="G55" s="4"/>
    </row>
    <row r="56" spans="1:22" x14ac:dyDescent="0.35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35">
      <c r="A57" s="5" t="s">
        <v>22</v>
      </c>
      <c r="B57" s="5" t="s">
        <v>21</v>
      </c>
      <c r="C57">
        <v>4</v>
      </c>
      <c r="D57">
        <f>J57+K57+L57+M57+N57</f>
        <v>123759.49613284627</v>
      </c>
      <c r="E57">
        <v>282179.67123286799</v>
      </c>
      <c r="F57">
        <v>0.86412362052107095</v>
      </c>
      <c r="G57">
        <v>22235.129466751401</v>
      </c>
      <c r="H57">
        <v>9205.4053509202495</v>
      </c>
      <c r="I57">
        <v>0</v>
      </c>
      <c r="J57">
        <v>31440.534817671702</v>
      </c>
      <c r="K57">
        <v>50868.697977035903</v>
      </c>
      <c r="L57">
        <v>20030.700516482098</v>
      </c>
      <c r="M57">
        <v>19946.203305120602</v>
      </c>
      <c r="N57">
        <v>1473.35951653596</v>
      </c>
      <c r="O57">
        <v>0</v>
      </c>
      <c r="P57">
        <f>D57+$P$1</f>
        <v>244319.16795184277</v>
      </c>
      <c r="Q57">
        <v>1461.0227171772699</v>
      </c>
      <c r="R57">
        <v>37816.4634857485</v>
      </c>
      <c r="S57">
        <v>822.09703229888203</v>
      </c>
      <c r="T57">
        <v>1.67282971584568</v>
      </c>
      <c r="U57">
        <v>43765.040311224599</v>
      </c>
      <c r="V57">
        <v>358.72983861659498</v>
      </c>
    </row>
    <row r="58" spans="1:22" x14ac:dyDescent="0.35">
      <c r="K58">
        <f>K57+L57+M57-K5</f>
        <v>5401.088917483823</v>
      </c>
    </row>
    <row r="59" spans="1:22" x14ac:dyDescent="0.35">
      <c r="A59" s="1" t="s">
        <v>30</v>
      </c>
      <c r="G59" s="4"/>
    </row>
    <row r="60" spans="1:22" x14ac:dyDescent="0.35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35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35">
      <c r="A62" s="5" t="s">
        <v>22</v>
      </c>
      <c r="B62" s="5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35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35">
      <c r="A64" s="26" t="s">
        <v>44</v>
      </c>
      <c r="B64" s="26"/>
      <c r="C64" s="26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35">
      <c r="A65" s="9"/>
      <c r="B65" s="9"/>
      <c r="C65" s="9"/>
      <c r="D65" s="10"/>
    </row>
    <row r="66" spans="1:22" x14ac:dyDescent="0.35">
      <c r="A66" s="9"/>
      <c r="B66" s="9"/>
      <c r="C66" s="9"/>
      <c r="D66" s="13"/>
    </row>
    <row r="67" spans="1:22" x14ac:dyDescent="0.35">
      <c r="A67" s="26" t="s">
        <v>60</v>
      </c>
      <c r="B67" s="26"/>
      <c r="C67" s="26"/>
      <c r="D67" s="10"/>
    </row>
    <row r="68" spans="1:22" x14ac:dyDescent="0.35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35">
      <c r="A69" s="26" t="s">
        <v>61</v>
      </c>
      <c r="B69" s="26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35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35">
      <c r="A71" s="1" t="s">
        <v>42</v>
      </c>
      <c r="G71" s="4"/>
    </row>
    <row r="72" spans="1:22" x14ac:dyDescent="0.35">
      <c r="A72" s="3" t="s">
        <v>20</v>
      </c>
      <c r="B72" s="3" t="s">
        <v>23</v>
      </c>
      <c r="C72" s="3">
        <v>0</v>
      </c>
      <c r="G72" s="4"/>
    </row>
    <row r="73" spans="1:22" x14ac:dyDescent="0.35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35">
      <c r="A74" s="3"/>
      <c r="B74" s="3"/>
      <c r="C74" s="3"/>
      <c r="G74" s="4"/>
    </row>
    <row r="75" spans="1:22" x14ac:dyDescent="0.35">
      <c r="A75" s="3" t="s">
        <v>20</v>
      </c>
      <c r="B75" s="3" t="s">
        <v>21</v>
      </c>
      <c r="C75" s="3">
        <v>4</v>
      </c>
      <c r="G75" s="4"/>
    </row>
    <row r="76" spans="1:22" x14ac:dyDescent="0.35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35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35">
      <c r="A78" s="1" t="s">
        <v>31</v>
      </c>
    </row>
    <row r="79" spans="1:22" x14ac:dyDescent="0.35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35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35">
      <c r="A81" s="1"/>
    </row>
    <row r="82" spans="1:22" x14ac:dyDescent="0.35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35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35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9" si="19">D85+$P$1</f>
        <v>237266.08760950161</v>
      </c>
      <c r="Q85">
        <v>1127.2750356983499</v>
      </c>
      <c r="R85">
        <v>0</v>
      </c>
    </row>
    <row r="86" spans="1:22" x14ac:dyDescent="0.35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35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35">
      <c r="A88" s="1" t="s">
        <v>34</v>
      </c>
      <c r="G88" s="4"/>
    </row>
    <row r="89" spans="1:22" x14ac:dyDescent="0.35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si="19"/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35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64</v>
      </c>
      <c r="L90" t="s">
        <v>64</v>
      </c>
      <c r="M90" t="s">
        <v>64</v>
      </c>
      <c r="N90" t="s">
        <v>36</v>
      </c>
    </row>
    <row r="91" spans="1:22" hidden="1" x14ac:dyDescent="0.35"/>
    <row r="92" spans="1:22" hidden="1" x14ac:dyDescent="0.35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35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35">
      <c r="G94" s="4"/>
    </row>
    <row r="95" spans="1:22" x14ac:dyDescent="0.35">
      <c r="A95" t="s">
        <v>20</v>
      </c>
      <c r="B95" t="s">
        <v>21</v>
      </c>
      <c r="C95">
        <v>4</v>
      </c>
      <c r="D95">
        <f>J95+K95+L95+M95+N95</f>
        <v>121563.11893886774</v>
      </c>
      <c r="E95">
        <v>306531.77686027403</v>
      </c>
      <c r="F95">
        <v>0.78839751879627895</v>
      </c>
      <c r="G95">
        <v>19075.241421310599</v>
      </c>
      <c r="H95">
        <v>6261.96818995999</v>
      </c>
      <c r="I95">
        <v>1707.4548259942601</v>
      </c>
      <c r="J95">
        <v>27044.664437264801</v>
      </c>
      <c r="K95">
        <v>55296.129476701703</v>
      </c>
      <c r="L95">
        <v>16799.683918922601</v>
      </c>
      <c r="M95">
        <v>20976.431949083999</v>
      </c>
      <c r="N95">
        <v>1446.20915689464</v>
      </c>
      <c r="O95">
        <v>0</v>
      </c>
      <c r="P95">
        <f t="shared" ref="P95" si="21">D95+$P$1</f>
        <v>242122.79075786425</v>
      </c>
      <c r="Q95">
        <v>1421.8975872168901</v>
      </c>
      <c r="R95">
        <v>16926.965777071098</v>
      </c>
      <c r="S95">
        <v>248.92596730986901</v>
      </c>
      <c r="T95">
        <v>-0.61547468554465901</v>
      </c>
      <c r="U95">
        <v>31937.310450388199</v>
      </c>
      <c r="V95">
        <v>319.37310450388202</v>
      </c>
    </row>
    <row r="96" spans="1:22" x14ac:dyDescent="0.35">
      <c r="A96" s="3" t="s">
        <v>20</v>
      </c>
      <c r="B96" t="s">
        <v>35</v>
      </c>
      <c r="C96" t="s">
        <v>35</v>
      </c>
      <c r="D96" t="s">
        <v>36</v>
      </c>
      <c r="E96" t="s">
        <v>36</v>
      </c>
      <c r="F96" t="s">
        <v>36</v>
      </c>
      <c r="G96" s="10">
        <v>21558</v>
      </c>
      <c r="H96">
        <v>7337</v>
      </c>
      <c r="I96">
        <v>3883</v>
      </c>
      <c r="J96" s="10">
        <f>G96+H96+I96</f>
        <v>32778</v>
      </c>
      <c r="K96" t="s">
        <v>64</v>
      </c>
      <c r="L96" t="s">
        <v>64</v>
      </c>
      <c r="M96" t="s">
        <v>64</v>
      </c>
      <c r="N96" t="s">
        <v>36</v>
      </c>
    </row>
    <row r="97" spans="1:22" x14ac:dyDescent="0.35">
      <c r="A97" s="2"/>
      <c r="G97" s="4"/>
    </row>
    <row r="99" spans="1:22" x14ac:dyDescent="0.35">
      <c r="A99" s="1" t="s">
        <v>63</v>
      </c>
    </row>
    <row r="100" spans="1:22" x14ac:dyDescent="0.35">
      <c r="A100" t="s">
        <v>22</v>
      </c>
      <c r="B100" t="s">
        <v>23</v>
      </c>
      <c r="C100">
        <v>0</v>
      </c>
      <c r="D100">
        <f>J100+K100+L100+M100+N100</f>
        <v>144641.57326653044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L4*(1.08/0.43)</f>
        <v>38437.447108478234</v>
      </c>
      <c r="M100">
        <v>19297.5304894482</v>
      </c>
      <c r="N100">
        <v>1410</v>
      </c>
      <c r="O100">
        <v>0</v>
      </c>
      <c r="P100">
        <f t="shared" ref="P100" si="22">D100+$P$1</f>
        <v>265201.24508552696</v>
      </c>
    </row>
    <row r="101" spans="1:22" x14ac:dyDescent="0.35">
      <c r="A101" t="s">
        <v>22</v>
      </c>
      <c r="B101" t="s">
        <v>21</v>
      </c>
      <c r="C101">
        <v>4</v>
      </c>
      <c r="D101">
        <f>J101+K101+L101+M101+N101</f>
        <v>141686.61445013408</v>
      </c>
      <c r="E101">
        <v>282179.70347192901</v>
      </c>
      <c r="F101">
        <v>0.92782505226740197</v>
      </c>
      <c r="G101">
        <v>19831.065688191899</v>
      </c>
      <c r="H101">
        <v>6230.6791730567802</v>
      </c>
      <c r="I101">
        <v>4871.4166947967997</v>
      </c>
      <c r="J101">
        <v>30933.161556045401</v>
      </c>
      <c r="K101">
        <v>50937.4505788346</v>
      </c>
      <c r="L101">
        <v>39073.7116581429</v>
      </c>
      <c r="M101">
        <v>19317.091802737999</v>
      </c>
      <c r="N101">
        <v>1425.19885437316</v>
      </c>
      <c r="O101">
        <v>0</v>
      </c>
      <c r="P101">
        <f t="shared" ref="P101" si="23">D101+$P$1</f>
        <v>262246.28626913059</v>
      </c>
      <c r="Q101">
        <v>1392.0880151674601</v>
      </c>
      <c r="R101">
        <v>14195.8581733913</v>
      </c>
      <c r="S101">
        <v>112.66554105866101</v>
      </c>
      <c r="T101">
        <v>-1.52076853589591</v>
      </c>
      <c r="U101">
        <v>12183.2216733653</v>
      </c>
      <c r="V101">
        <v>290.07670650869801</v>
      </c>
    </row>
    <row r="102" spans="1:22" x14ac:dyDescent="0.35">
      <c r="K102">
        <f>SUM(K100:M100)-SUM(K101:M101)</f>
        <v>-750.09243586547382</v>
      </c>
    </row>
    <row r="103" spans="1:22" x14ac:dyDescent="0.35">
      <c r="A103" t="s">
        <v>22</v>
      </c>
      <c r="B103" t="s">
        <v>23</v>
      </c>
      <c r="C103">
        <v>0</v>
      </c>
      <c r="D103">
        <f>J103+K103+L103+M103+N103</f>
        <v>182723.11808696718</v>
      </c>
      <c r="E103">
        <v>282179.67123287602</v>
      </c>
      <c r="F103">
        <v>0.85636894399557495</v>
      </c>
      <c r="G103">
        <v>20627.43117349</v>
      </c>
      <c r="H103">
        <v>4930.8542128783001</v>
      </c>
      <c r="I103">
        <v>9095.1262763121395</v>
      </c>
      <c r="J103">
        <v>34653.411662680403</v>
      </c>
      <c r="K103">
        <v>50843.184005923598</v>
      </c>
      <c r="L103">
        <f>L4*(2.15/0.43)</f>
        <v>76518.991928914998</v>
      </c>
      <c r="M103">
        <v>19297.5304894482</v>
      </c>
      <c r="N103">
        <v>1410</v>
      </c>
      <c r="P103">
        <f t="shared" ref="P103:P104" si="24">D103+$P$1</f>
        <v>303282.7899059637</v>
      </c>
    </row>
    <row r="104" spans="1:22" x14ac:dyDescent="0.35">
      <c r="A104" t="s">
        <v>22</v>
      </c>
      <c r="B104" t="s">
        <v>21</v>
      </c>
      <c r="C104">
        <v>4</v>
      </c>
      <c r="D104" s="13">
        <f>J104+K104+L104+M104+N104</f>
        <v>180164.72653261331</v>
      </c>
      <c r="E104" s="13">
        <v>282179.67123285698</v>
      </c>
      <c r="F104" s="12">
        <v>1.0641670739695701</v>
      </c>
      <c r="G104" s="13">
        <v>19863.1783561796</v>
      </c>
      <c r="H104" s="13">
        <v>6506.5697069746102</v>
      </c>
      <c r="I104" s="13">
        <v>4873.61028676154</v>
      </c>
      <c r="J104" s="13">
        <v>31243.358349915699</v>
      </c>
      <c r="K104" s="13">
        <v>50899.9452054371</v>
      </c>
      <c r="L104" s="13">
        <v>77281.720548983998</v>
      </c>
      <c r="M104" s="13">
        <v>19309.308438346699</v>
      </c>
      <c r="N104" s="13">
        <v>1430.39398992981</v>
      </c>
      <c r="O104">
        <v>0</v>
      </c>
      <c r="P104">
        <f t="shared" si="24"/>
        <v>300724.39835160982</v>
      </c>
      <c r="Q104" s="4">
        <v>1453.7288077599201</v>
      </c>
      <c r="R104">
        <v>14136.371585592</v>
      </c>
      <c r="S104" s="4">
        <v>107.91123347780101</v>
      </c>
      <c r="T104" s="12">
        <v>-4.2490908058638102</v>
      </c>
      <c r="U104">
        <v>13013.5923280234</v>
      </c>
      <c r="V104" s="4">
        <v>351.71871156820202</v>
      </c>
    </row>
    <row r="105" spans="1:22" x14ac:dyDescent="0.35">
      <c r="K105" s="13">
        <f>SUM(K103:M103)-SUM(K104:M104)</f>
        <v>-831.26776848098962</v>
      </c>
    </row>
    <row r="106" spans="1:22" x14ac:dyDescent="0.35">
      <c r="A106" s="1" t="s">
        <v>65</v>
      </c>
      <c r="K106" s="13"/>
    </row>
    <row r="107" spans="1:22" x14ac:dyDescent="0.35">
      <c r="A107" t="s">
        <v>22</v>
      </c>
      <c r="B107" t="s">
        <v>23</v>
      </c>
      <c r="C107">
        <v>4</v>
      </c>
      <c r="D107" s="13">
        <f>J107+K107+L107+M107+N107</f>
        <v>119726.39965297376</v>
      </c>
      <c r="E107">
        <v>282179.83224964398</v>
      </c>
      <c r="F107">
        <v>0.84996419881982699</v>
      </c>
      <c r="G107">
        <v>20303.288104589901</v>
      </c>
      <c r="H107">
        <v>6543.2205338351096</v>
      </c>
      <c r="I107">
        <v>5999.24631325068</v>
      </c>
      <c r="J107">
        <v>32845.754951675699</v>
      </c>
      <c r="K107">
        <v>50843.330071946802</v>
      </c>
      <c r="L107">
        <v>15304.121701009901</v>
      </c>
      <c r="M107">
        <v>19297.5657896679</v>
      </c>
      <c r="N107">
        <v>1435.62713867346</v>
      </c>
      <c r="O107">
        <v>0</v>
      </c>
      <c r="P107">
        <f t="shared" ref="P107:P108" si="25">D107+$P$1</f>
        <v>240286.0714719703</v>
      </c>
      <c r="Q107">
        <v>1461.9175121692599</v>
      </c>
      <c r="R107">
        <v>30796.244401685999</v>
      </c>
      <c r="S107">
        <v>375.56395611812201</v>
      </c>
      <c r="T107">
        <v>1.20664176507714E-2</v>
      </c>
      <c r="U107">
        <v>30890.848067330899</v>
      </c>
      <c r="V107">
        <v>359.195907759661</v>
      </c>
    </row>
    <row r="108" spans="1:22" x14ac:dyDescent="0.35">
      <c r="A108" t="s">
        <v>22</v>
      </c>
      <c r="B108" t="s">
        <v>21</v>
      </c>
      <c r="C108">
        <v>4</v>
      </c>
      <c r="D108" s="13">
        <f>J108+K108+L108+M108+N108</f>
        <v>118661.22865756074</v>
      </c>
      <c r="E108">
        <v>282195.464864693</v>
      </c>
      <c r="F108">
        <v>0.84615181718922305</v>
      </c>
      <c r="G108">
        <v>20110.907995096401</v>
      </c>
      <c r="H108">
        <v>6540.2066794450602</v>
      </c>
      <c r="I108">
        <v>4890.2435679090904</v>
      </c>
      <c r="J108">
        <v>31541.358242450598</v>
      </c>
      <c r="K108">
        <v>50907.023134659299</v>
      </c>
      <c r="L108">
        <v>15468.5747825788</v>
      </c>
      <c r="M108">
        <v>19311.266711247299</v>
      </c>
      <c r="N108">
        <v>1433.00578662475</v>
      </c>
      <c r="O108">
        <v>0</v>
      </c>
      <c r="P108">
        <f t="shared" si="25"/>
        <v>239220.90047655726</v>
      </c>
      <c r="Q108">
        <v>1461.2441424594499</v>
      </c>
      <c r="R108">
        <v>30869.812631599802</v>
      </c>
      <c r="S108">
        <v>411.59750175466399</v>
      </c>
      <c r="T108">
        <v>4.6542923975130698E-2</v>
      </c>
      <c r="U108">
        <v>30784.7301446001</v>
      </c>
      <c r="V108">
        <v>331.01860370537798</v>
      </c>
    </row>
    <row r="109" spans="1:22" x14ac:dyDescent="0.35">
      <c r="D109" s="13">
        <f>D108-D31</f>
        <v>870.81314264753019</v>
      </c>
      <c r="E109" s="13">
        <f t="shared" ref="E109:N109" si="26">E108-E31</f>
        <v>15.79363181698136</v>
      </c>
      <c r="F109" s="13">
        <f t="shared" si="26"/>
        <v>3.0492754563130609E-3</v>
      </c>
      <c r="G109" s="13">
        <f t="shared" si="26"/>
        <v>270.37094434599931</v>
      </c>
      <c r="H109" s="13">
        <f t="shared" si="26"/>
        <v>1259.5735968278204</v>
      </c>
      <c r="I109" s="13">
        <f t="shared" si="26"/>
        <v>12.753618583180469</v>
      </c>
      <c r="J109" s="13">
        <f t="shared" si="26"/>
        <v>1542.6981597569975</v>
      </c>
      <c r="K109" s="13">
        <f t="shared" si="26"/>
        <v>-170.1127457354014</v>
      </c>
      <c r="L109" s="13">
        <f t="shared" si="26"/>
        <v>-463.96926584500034</v>
      </c>
      <c r="M109" s="13">
        <f t="shared" si="26"/>
        <v>-34.808792153802642</v>
      </c>
      <c r="N109" s="13">
        <f t="shared" si="26"/>
        <v>-2.9942133752499558</v>
      </c>
    </row>
    <row r="110" spans="1:22" x14ac:dyDescent="0.35"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 spans="1:22" x14ac:dyDescent="0.35">
      <c r="A111" s="1" t="s">
        <v>66</v>
      </c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 spans="1:22" x14ac:dyDescent="0.35">
      <c r="A112" t="s">
        <v>22</v>
      </c>
      <c r="B112" t="s">
        <v>21</v>
      </c>
      <c r="C112">
        <v>4</v>
      </c>
      <c r="D112" s="13">
        <f>J112+K112+L112+M112+N112</f>
        <v>113976.01616633293</v>
      </c>
      <c r="E112">
        <v>282179.67123285797</v>
      </c>
      <c r="F112">
        <v>0.82949143613233001</v>
      </c>
      <c r="G112">
        <v>19739.4095985942</v>
      </c>
      <c r="H112">
        <v>6280.2265894411403</v>
      </c>
      <c r="I112">
        <v>0</v>
      </c>
      <c r="J112">
        <v>26019.6361880353</v>
      </c>
      <c r="K112">
        <v>50944.945205466604</v>
      </c>
      <c r="L112">
        <v>15577.281609678699</v>
      </c>
      <c r="M112">
        <v>19971.775208230301</v>
      </c>
      <c r="N112">
        <v>1462.3779549220301</v>
      </c>
      <c r="O112">
        <v>0</v>
      </c>
      <c r="P112">
        <f t="shared" ref="P112" si="27">D112+$P$1</f>
        <v>234535.68798532945</v>
      </c>
      <c r="Q112">
        <v>1403.15815187257</v>
      </c>
      <c r="R112">
        <v>34638.685534293101</v>
      </c>
      <c r="S112">
        <v>865.96713835732805</v>
      </c>
      <c r="T112">
        <v>0.1767383415172</v>
      </c>
      <c r="U112">
        <v>38493.267558113897</v>
      </c>
      <c r="V112">
        <v>300.72865279776499</v>
      </c>
    </row>
    <row r="113" spans="1:20" x14ac:dyDescent="0.35">
      <c r="D113" s="12">
        <f>(D112-D4)</f>
        <v>-7531.9083775022591</v>
      </c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 spans="1:20" x14ac:dyDescent="0.35"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 spans="1:20" x14ac:dyDescent="0.35">
      <c r="A115" s="7" t="s">
        <v>37</v>
      </c>
    </row>
    <row r="116" spans="1:20" x14ac:dyDescent="0.35">
      <c r="A116" t="s">
        <v>32</v>
      </c>
      <c r="B116" t="s">
        <v>33</v>
      </c>
      <c r="C116" t="s">
        <v>2</v>
      </c>
    </row>
    <row r="117" spans="1:20" x14ac:dyDescent="0.35">
      <c r="A117">
        <v>20</v>
      </c>
      <c r="B117">
        <v>60</v>
      </c>
      <c r="C117">
        <v>2</v>
      </c>
      <c r="D117">
        <f t="shared" ref="D117:D123" si="28">J117+K117+L117+M117+N117</f>
        <v>120712.69088313227</v>
      </c>
      <c r="E117">
        <v>282179.67123285501</v>
      </c>
      <c r="F117">
        <v>0.854946898908852</v>
      </c>
      <c r="G117">
        <v>18681.222424938602</v>
      </c>
      <c r="H117">
        <v>5354.6114985546601</v>
      </c>
      <c r="I117">
        <v>8156.08309050551</v>
      </c>
      <c r="J117">
        <v>32191.917013998798</v>
      </c>
      <c r="K117">
        <v>51372.124296964801</v>
      </c>
      <c r="L117">
        <v>16725.325417965501</v>
      </c>
      <c r="M117">
        <v>19407.285599838699</v>
      </c>
      <c r="N117">
        <v>1016.03855436447</v>
      </c>
      <c r="O117">
        <v>0</v>
      </c>
      <c r="P117">
        <f t="shared" ref="P117:P123" si="29">D117+$P$1</f>
        <v>241272.36270212877</v>
      </c>
      <c r="Q117">
        <v>1192.7637589594799</v>
      </c>
      <c r="R117">
        <v>19736.206339365101</v>
      </c>
      <c r="S117">
        <v>481.37088632597801</v>
      </c>
      <c r="T117" s="6">
        <v>0.12591688076390301</v>
      </c>
    </row>
    <row r="118" spans="1:20" x14ac:dyDescent="0.35">
      <c r="A118">
        <v>20</v>
      </c>
      <c r="B118">
        <v>50</v>
      </c>
      <c r="C118">
        <v>2</v>
      </c>
      <c r="D118">
        <f t="shared" si="28"/>
        <v>119392.42354269064</v>
      </c>
      <c r="E118">
        <v>282254.81855225202</v>
      </c>
      <c r="F118">
        <v>0.85006146065890897</v>
      </c>
      <c r="G118">
        <v>19407.840072768398</v>
      </c>
      <c r="H118">
        <v>5891.8301217549197</v>
      </c>
      <c r="I118">
        <v>6659.4942697455399</v>
      </c>
      <c r="J118">
        <v>31959.164464268899</v>
      </c>
      <c r="K118">
        <v>51102.045942938203</v>
      </c>
      <c r="L118">
        <v>15967.176494174801</v>
      </c>
      <c r="M118">
        <v>19353.573908279199</v>
      </c>
      <c r="N118">
        <v>1010.46273302954</v>
      </c>
      <c r="O118">
        <v>0</v>
      </c>
      <c r="P118">
        <f t="shared" si="29"/>
        <v>239952.09536168716</v>
      </c>
      <c r="Q118">
        <v>1312.43161993582</v>
      </c>
      <c r="R118">
        <v>18377.616631847999</v>
      </c>
      <c r="S118">
        <v>459.4404157962</v>
      </c>
      <c r="T118" s="6">
        <v>0.14758705239613301</v>
      </c>
    </row>
    <row r="119" spans="1:20" x14ac:dyDescent="0.35">
      <c r="A119">
        <v>20</v>
      </c>
      <c r="B119">
        <v>40</v>
      </c>
      <c r="C119">
        <v>2</v>
      </c>
      <c r="D119">
        <f t="shared" si="28"/>
        <v>117777.02945340994</v>
      </c>
      <c r="E119">
        <v>282179.67123287299</v>
      </c>
      <c r="F119">
        <v>0.84456314023622803</v>
      </c>
      <c r="G119">
        <v>19298.245593088301</v>
      </c>
      <c r="H119">
        <v>5682.0016560700296</v>
      </c>
      <c r="I119">
        <v>5350.3346939491703</v>
      </c>
      <c r="J119">
        <v>30330.5819431075</v>
      </c>
      <c r="K119">
        <v>51097.733915068202</v>
      </c>
      <c r="L119">
        <v>15987.901266609</v>
      </c>
      <c r="M119">
        <v>19350.349595595701</v>
      </c>
      <c r="N119">
        <v>1010.46273302954</v>
      </c>
      <c r="O119">
        <v>0</v>
      </c>
      <c r="P119">
        <f t="shared" si="29"/>
        <v>238336.70127240644</v>
      </c>
      <c r="Q119">
        <v>1265.6913868611</v>
      </c>
      <c r="R119">
        <v>17746.163883660702</v>
      </c>
      <c r="S119">
        <v>507.03325381887902</v>
      </c>
      <c r="T119" s="6">
        <v>-0.25983751983286502</v>
      </c>
    </row>
    <row r="120" spans="1:20" x14ac:dyDescent="0.35">
      <c r="A120">
        <v>20</v>
      </c>
      <c r="B120">
        <v>30</v>
      </c>
      <c r="C120">
        <v>2</v>
      </c>
      <c r="D120">
        <f t="shared" si="28"/>
        <v>116625.1695160947</v>
      </c>
      <c r="E120">
        <v>282182.50548365602</v>
      </c>
      <c r="F120">
        <v>0.84045954058697003</v>
      </c>
      <c r="G120">
        <v>19302.752565837702</v>
      </c>
      <c r="H120">
        <v>6226.5181629292701</v>
      </c>
      <c r="I120">
        <v>3974.5318253822402</v>
      </c>
      <c r="J120">
        <v>29503.802554149199</v>
      </c>
      <c r="K120">
        <v>51013.610661725899</v>
      </c>
      <c r="L120">
        <v>15760.601295416</v>
      </c>
      <c r="M120">
        <v>19332.981882301501</v>
      </c>
      <c r="N120">
        <v>1014.17312250211</v>
      </c>
      <c r="O120">
        <v>0</v>
      </c>
      <c r="P120">
        <f t="shared" si="29"/>
        <v>237184.84133509122</v>
      </c>
      <c r="Q120">
        <v>1386.9848841974899</v>
      </c>
      <c r="R120">
        <v>18436.445202769701</v>
      </c>
      <c r="S120">
        <v>209.50505912238299</v>
      </c>
      <c r="T120" s="6">
        <v>0.28049716262959101</v>
      </c>
    </row>
    <row r="121" spans="1:20" x14ac:dyDescent="0.35">
      <c r="A121" s="3">
        <v>20</v>
      </c>
      <c r="B121" s="3">
        <v>20</v>
      </c>
      <c r="C121" s="3">
        <v>2</v>
      </c>
      <c r="D121">
        <f t="shared" si="28"/>
        <v>115198.459983006</v>
      </c>
      <c r="E121">
        <v>282179.67123297497</v>
      </c>
      <c r="F121">
        <v>0.83541194997266699</v>
      </c>
      <c r="G121">
        <v>19351.2255529412</v>
      </c>
      <c r="H121">
        <v>6002.0469674603501</v>
      </c>
      <c r="I121">
        <v>2645.4376652921501</v>
      </c>
      <c r="J121">
        <v>27998.710185693701</v>
      </c>
      <c r="K121">
        <v>51033.4442867088</v>
      </c>
      <c r="L121">
        <v>15815.1228903871</v>
      </c>
      <c r="M121">
        <v>19337.009497714302</v>
      </c>
      <c r="N121">
        <v>1014.17312250211</v>
      </c>
      <c r="O121">
        <v>0</v>
      </c>
      <c r="P121">
        <f t="shared" si="29"/>
        <v>235758.13180200252</v>
      </c>
      <c r="Q121">
        <v>1336.98290493166</v>
      </c>
      <c r="R121">
        <v>18577.307877855899</v>
      </c>
      <c r="S121">
        <v>432.030415764091</v>
      </c>
      <c r="T121" s="6">
        <v>-0.122490141098651</v>
      </c>
    </row>
    <row r="122" spans="1:20" x14ac:dyDescent="0.35">
      <c r="A122">
        <v>20</v>
      </c>
      <c r="B122">
        <v>15</v>
      </c>
      <c r="C122">
        <v>2</v>
      </c>
      <c r="D122">
        <f t="shared" si="28"/>
        <v>114451.25872361983</v>
      </c>
      <c r="E122">
        <v>282179.67123267101</v>
      </c>
      <c r="F122">
        <v>0.83277713625127903</v>
      </c>
      <c r="G122">
        <v>19390.977969205</v>
      </c>
      <c r="H122">
        <v>5599.5405456203798</v>
      </c>
      <c r="I122">
        <v>2128.1287863747102</v>
      </c>
      <c r="J122">
        <v>27118.647301200101</v>
      </c>
      <c r="K122">
        <v>51068.507704320902</v>
      </c>
      <c r="L122">
        <v>15909.3558282099</v>
      </c>
      <c r="M122">
        <v>19344.285156859401</v>
      </c>
      <c r="N122">
        <v>1010.46273302954</v>
      </c>
      <c r="O122">
        <v>0</v>
      </c>
      <c r="P122">
        <f t="shared" si="29"/>
        <v>235010.93054261635</v>
      </c>
      <c r="Q122">
        <v>1247.3228025527501</v>
      </c>
      <c r="R122">
        <v>16417.502561416801</v>
      </c>
      <c r="S122">
        <v>469.07150175476602</v>
      </c>
      <c r="T122" s="6">
        <v>0.46004655114715598</v>
      </c>
    </row>
    <row r="123" spans="1:20" x14ac:dyDescent="0.35">
      <c r="A123">
        <v>20</v>
      </c>
      <c r="B123">
        <v>12</v>
      </c>
      <c r="C123">
        <v>2</v>
      </c>
      <c r="D123">
        <f t="shared" si="28"/>
        <v>114787.7594081375</v>
      </c>
      <c r="E123">
        <v>282179.67123287602</v>
      </c>
      <c r="F123">
        <v>0.83403396920434802</v>
      </c>
      <c r="G123">
        <v>20436.472361711199</v>
      </c>
      <c r="H123">
        <v>4946.5396722567002</v>
      </c>
      <c r="I123">
        <v>2967.9237851293901</v>
      </c>
      <c r="J123">
        <v>28350.9358190973</v>
      </c>
      <c r="K123">
        <v>50843.184005923598</v>
      </c>
      <c r="L123">
        <v>15303.798385783</v>
      </c>
      <c r="M123">
        <v>19297.530489448302</v>
      </c>
      <c r="N123">
        <v>992.31070788530405</v>
      </c>
      <c r="O123">
        <v>0</v>
      </c>
      <c r="P123">
        <f t="shared" si="29"/>
        <v>235347.43122713402</v>
      </c>
      <c r="Q123">
        <v>1101.8639118583401</v>
      </c>
      <c r="R123">
        <v>13.380488321454299</v>
      </c>
      <c r="S123">
        <v>2.67609766429086</v>
      </c>
      <c r="T123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E34" sqref="E34"/>
    </sheetView>
  </sheetViews>
  <sheetFormatPr defaultRowHeight="14.5" x14ac:dyDescent="0.35"/>
  <cols>
    <col min="1" max="1" width="22" customWidth="1"/>
    <col min="2" max="2" width="12.81640625" customWidth="1"/>
    <col min="3" max="3" width="11.36328125" customWidth="1"/>
    <col min="4" max="4" width="15.54296875" customWidth="1"/>
    <col min="5" max="5" width="16" customWidth="1"/>
    <col min="6" max="6" width="17.08984375" customWidth="1"/>
    <col min="7" max="7" width="15.26953125" customWidth="1"/>
    <col min="8" max="8" width="13.26953125" customWidth="1"/>
    <col min="9" max="11" width="11.36328125" bestFit="1" customWidth="1"/>
  </cols>
  <sheetData>
    <row r="2" spans="1:16" x14ac:dyDescent="0.35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35">
      <c r="A3" t="s">
        <v>47</v>
      </c>
    </row>
    <row r="4" spans="1:16" x14ac:dyDescent="0.35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35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35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75" customHeight="1" x14ac:dyDescent="0.35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75" customHeight="1" x14ac:dyDescent="0.35">
      <c r="D8" s="10">
        <f t="shared" ref="D8:K8" si="0">D7-D4</f>
        <v>759.28494035729091</v>
      </c>
      <c r="E8" s="10">
        <f t="shared" si="0"/>
        <v>-221.42920834019969</v>
      </c>
      <c r="F8" s="10">
        <f t="shared" si="0"/>
        <v>896.09976246881979</v>
      </c>
      <c r="G8" s="10">
        <f t="shared" si="0"/>
        <v>-4877.4899349639245</v>
      </c>
      <c r="H8" s="10">
        <f t="shared" si="0"/>
        <v>-4202.8193808354008</v>
      </c>
      <c r="I8" s="10">
        <f t="shared" si="0"/>
        <v>-87.19067491790338</v>
      </c>
      <c r="J8" s="10">
        <f t="shared" si="0"/>
        <v>4424.0083944886992</v>
      </c>
      <c r="K8" s="10">
        <f t="shared" si="0"/>
        <v>625.28660162189772</v>
      </c>
      <c r="M8" s="11"/>
    </row>
    <row r="9" spans="1:16" ht="14.75" customHeight="1" x14ac:dyDescent="0.35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75" customHeight="1" x14ac:dyDescent="0.35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35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35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35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35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35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35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35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35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35">
      <c r="A22" t="s">
        <v>51</v>
      </c>
      <c r="J22" t="s">
        <v>56</v>
      </c>
    </row>
    <row r="23" spans="1:12" x14ac:dyDescent="0.35">
      <c r="A23" t="s">
        <v>52</v>
      </c>
      <c r="D23" s="10">
        <f>D16-D4</f>
        <v>1271.9158797246782</v>
      </c>
      <c r="E23" s="10">
        <f t="shared" ref="E23:K23" si="1">E16-E4</f>
        <v>-437.48289297220254</v>
      </c>
      <c r="F23" s="10">
        <f t="shared" si="1"/>
        <v>272.65942815481048</v>
      </c>
      <c r="G23" s="10">
        <f t="shared" si="1"/>
        <v>0.39617456624000624</v>
      </c>
      <c r="H23" s="10">
        <f t="shared" si="1"/>
        <v>-164.42729025120207</v>
      </c>
      <c r="I23" s="10">
        <f t="shared" si="1"/>
        <v>96.534215612700791</v>
      </c>
      <c r="J23" s="10">
        <f t="shared" si="1"/>
        <v>1191.1023712935985</v>
      </c>
      <c r="K23" s="10">
        <f t="shared" si="1"/>
        <v>148.7065830695974</v>
      </c>
      <c r="L23" s="10"/>
    </row>
    <row r="25" spans="1:12" x14ac:dyDescent="0.35">
      <c r="A25" t="s">
        <v>55</v>
      </c>
      <c r="D25" s="10">
        <f t="shared" ref="D25:K25" si="2">D7-D4</f>
        <v>759.28494035729091</v>
      </c>
      <c r="E25" s="10">
        <f t="shared" si="2"/>
        <v>-221.42920834019969</v>
      </c>
      <c r="F25" s="10">
        <f t="shared" si="2"/>
        <v>896.09976246881979</v>
      </c>
      <c r="G25" s="10">
        <f t="shared" si="2"/>
        <v>-4877.4899349639245</v>
      </c>
      <c r="H25" s="10">
        <f t="shared" si="2"/>
        <v>-4202.8193808354008</v>
      </c>
      <c r="I25" s="10">
        <f t="shared" si="2"/>
        <v>-87.19067491790338</v>
      </c>
      <c r="J25" s="10">
        <f t="shared" si="2"/>
        <v>4424.0083944886992</v>
      </c>
      <c r="K25" s="10">
        <f t="shared" si="2"/>
        <v>625.28660162189772</v>
      </c>
      <c r="L25" s="10"/>
    </row>
    <row r="27" spans="1:12" x14ac:dyDescent="0.35">
      <c r="A27" t="s">
        <v>53</v>
      </c>
      <c r="D27" s="10">
        <f t="shared" ref="D27:K27" si="3">D16-D13</f>
        <v>513.41117027959262</v>
      </c>
      <c r="E27" s="10">
        <f t="shared" si="3"/>
        <v>-214.21539764659974</v>
      </c>
      <c r="F27" s="10">
        <f t="shared" si="3"/>
        <v>-624.4983606493397</v>
      </c>
      <c r="G27" s="10">
        <f t="shared" si="3"/>
        <v>4877.8861089948059</v>
      </c>
      <c r="H27" s="10">
        <f t="shared" si="3"/>
        <v>4039.1723506987983</v>
      </c>
      <c r="I27" s="10">
        <f t="shared" si="3"/>
        <v>183.72486634590314</v>
      </c>
      <c r="J27" s="10">
        <f t="shared" si="3"/>
        <v>-3232.9060231951007</v>
      </c>
      <c r="K27" s="10">
        <f t="shared" si="3"/>
        <v>-476.58002357000078</v>
      </c>
    </row>
    <row r="29" spans="1:12" x14ac:dyDescent="0.35">
      <c r="A29" t="s">
        <v>59</v>
      </c>
      <c r="D29" s="10">
        <f>D18-D4</f>
        <v>1936.486733518308</v>
      </c>
      <c r="E29" s="10">
        <f t="shared" ref="E29:K29" si="4">E18-E4</f>
        <v>-71.19886349780063</v>
      </c>
      <c r="F29" s="10">
        <f t="shared" si="4"/>
        <v>774.71175120847056</v>
      </c>
      <c r="G29" s="10">
        <f t="shared" si="4"/>
        <v>-7.7077004276097796</v>
      </c>
      <c r="H29" s="10">
        <f t="shared" si="4"/>
        <v>695.80518728300012</v>
      </c>
      <c r="I29" s="10">
        <f t="shared" si="4"/>
        <v>-89.815674909797963</v>
      </c>
      <c r="J29" s="10">
        <f t="shared" si="4"/>
        <v>1156.1203736896005</v>
      </c>
      <c r="K29" s="10">
        <f t="shared" si="4"/>
        <v>174.37684745549996</v>
      </c>
    </row>
    <row r="31" spans="1:12" x14ac:dyDescent="0.35">
      <c r="A31" t="s">
        <v>58</v>
      </c>
      <c r="D31" s="10">
        <f>D16-D18</f>
        <v>-664.57085379362979</v>
      </c>
      <c r="E31" s="10">
        <f t="shared" ref="E31:K31" si="5">E16-E18</f>
        <v>-366.2840294744019</v>
      </c>
      <c r="F31" s="10">
        <f t="shared" si="5"/>
        <v>-502.05232305366007</v>
      </c>
      <c r="G31" s="10">
        <f t="shared" si="5"/>
        <v>8.1038749938497858</v>
      </c>
      <c r="H31" s="10">
        <f t="shared" si="5"/>
        <v>-860.23247753420219</v>
      </c>
      <c r="I31" s="10">
        <f t="shared" si="5"/>
        <v>186.34989052249875</v>
      </c>
      <c r="J31" s="10">
        <f t="shared" si="5"/>
        <v>34.981997603998025</v>
      </c>
      <c r="K31" s="10">
        <f t="shared" si="5"/>
        <v>-25.670264385902556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4AED-31C3-47D6-9398-9693457BF528}">
  <dimension ref="A1:AB19"/>
  <sheetViews>
    <sheetView tabSelected="1" topLeftCell="A4" workbookViewId="0">
      <selection activeCell="AA16" sqref="AA16"/>
    </sheetView>
  </sheetViews>
  <sheetFormatPr defaultRowHeight="14.5" x14ac:dyDescent="0.35"/>
  <cols>
    <col min="1" max="1" width="26.90625" customWidth="1"/>
    <col min="2" max="2" width="14.7265625" customWidth="1"/>
    <col min="3" max="3" width="12.08984375" customWidth="1"/>
    <col min="4" max="4" width="11" customWidth="1"/>
    <col min="5" max="5" width="8.54296875" customWidth="1"/>
    <col min="6" max="6" width="11.36328125" customWidth="1"/>
    <col min="7" max="7" width="15.08984375" customWidth="1"/>
    <col min="8" max="8" width="10.1796875" customWidth="1"/>
    <col min="9" max="9" width="11.36328125" customWidth="1"/>
    <col min="10" max="10" width="15" bestFit="1" customWidth="1"/>
    <col min="11" max="11" width="16.90625" bestFit="1" customWidth="1"/>
    <col min="26" max="26" width="12.7265625" bestFit="1" customWidth="1"/>
    <col min="27" max="27" width="10.7265625" customWidth="1"/>
    <col min="28" max="28" width="13.81640625" customWidth="1"/>
  </cols>
  <sheetData>
    <row r="1" spans="1:28" x14ac:dyDescent="0.35">
      <c r="G1">
        <v>121507.92454383519</v>
      </c>
      <c r="M1">
        <v>34653.411662680403</v>
      </c>
    </row>
    <row r="2" spans="1:28" x14ac:dyDescent="0.35">
      <c r="A2" s="1" t="s">
        <v>67</v>
      </c>
      <c r="B2" s="1" t="s">
        <v>68</v>
      </c>
      <c r="C2" s="1" t="s">
        <v>70</v>
      </c>
      <c r="D2" t="s">
        <v>0</v>
      </c>
      <c r="E2" t="s">
        <v>1</v>
      </c>
      <c r="F2" t="s">
        <v>2</v>
      </c>
      <c r="G2" s="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  <c r="Q2" s="2" t="s">
        <v>13</v>
      </c>
      <c r="R2" t="s">
        <v>14</v>
      </c>
      <c r="S2" s="2" t="s">
        <v>15</v>
      </c>
      <c r="T2" t="s">
        <v>29</v>
      </c>
      <c r="U2" t="s">
        <v>17</v>
      </c>
      <c r="V2" s="2" t="s">
        <v>18</v>
      </c>
      <c r="W2" t="s">
        <v>19</v>
      </c>
      <c r="X2" t="s">
        <v>39</v>
      </c>
      <c r="Y2" t="s">
        <v>40</v>
      </c>
      <c r="Z2" t="s">
        <v>73</v>
      </c>
      <c r="AA2" t="s">
        <v>74</v>
      </c>
      <c r="AB2" t="s">
        <v>75</v>
      </c>
    </row>
    <row r="3" spans="1:28" x14ac:dyDescent="0.35">
      <c r="A3">
        <v>0</v>
      </c>
      <c r="B3" t="s">
        <v>69</v>
      </c>
      <c r="C3">
        <v>5</v>
      </c>
      <c r="D3" t="s">
        <v>22</v>
      </c>
      <c r="E3" t="s">
        <v>21</v>
      </c>
      <c r="F3">
        <v>4</v>
      </c>
      <c r="G3">
        <f t="shared" ref="G3:G13" si="0">M3+N3+O3+P3+Q3-R3</f>
        <v>113976.01616633293</v>
      </c>
      <c r="H3">
        <v>282179.67123285797</v>
      </c>
      <c r="I3">
        <v>0.82949143613233001</v>
      </c>
      <c r="J3">
        <v>19739.4095985942</v>
      </c>
      <c r="K3">
        <v>6280.2265894411403</v>
      </c>
      <c r="L3">
        <v>0</v>
      </c>
      <c r="M3">
        <v>26019.6361880353</v>
      </c>
      <c r="N3">
        <v>50944.945205466604</v>
      </c>
      <c r="O3">
        <v>15577.281609678699</v>
      </c>
      <c r="P3">
        <v>19971.775208230301</v>
      </c>
      <c r="Q3">
        <v>1462.3779549220301</v>
      </c>
      <c r="R3">
        <v>0</v>
      </c>
      <c r="S3">
        <v>234065.620738292</v>
      </c>
      <c r="T3">
        <v>1403.15815187257</v>
      </c>
      <c r="U3">
        <v>34638.685534293101</v>
      </c>
      <c r="V3">
        <v>865.96713835732805</v>
      </c>
      <c r="W3">
        <v>0.1767383415172</v>
      </c>
      <c r="X3">
        <v>38493.267558113897</v>
      </c>
      <c r="Y3">
        <v>300.72865279776499</v>
      </c>
      <c r="Z3">
        <f t="shared" ref="Z3:Z11" si="1">IF(A3=0,0,C3*931*(A3/0.43))</f>
        <v>0</v>
      </c>
      <c r="AA3" s="10">
        <f>O3-Z3</f>
        <v>15577.281609678699</v>
      </c>
      <c r="AB3" s="12">
        <f t="shared" ref="AB3:AB13" si="2">($G$1-G3)/$M$1</f>
        <v>0.21734969274652002</v>
      </c>
    </row>
    <row r="4" spans="1:28" x14ac:dyDescent="0.35">
      <c r="A4">
        <v>0.215</v>
      </c>
      <c r="B4" t="s">
        <v>69</v>
      </c>
      <c r="C4">
        <v>5</v>
      </c>
      <c r="D4" t="s">
        <v>22</v>
      </c>
      <c r="E4" t="s">
        <v>21</v>
      </c>
      <c r="F4">
        <v>4</v>
      </c>
      <c r="G4">
        <f t="shared" si="0"/>
        <v>116312.83602496333</v>
      </c>
      <c r="H4">
        <v>282179.67123287602</v>
      </c>
      <c r="I4">
        <v>0.83777275508208204</v>
      </c>
      <c r="J4">
        <v>19752.187448396198</v>
      </c>
      <c r="K4">
        <v>6300.5639513368096</v>
      </c>
      <c r="L4">
        <v>0</v>
      </c>
      <c r="M4">
        <v>26052.751399732999</v>
      </c>
      <c r="N4">
        <v>50940.911465697704</v>
      </c>
      <c r="O4">
        <v>17895.607600592499</v>
      </c>
      <c r="P4">
        <v>19961.187604018101</v>
      </c>
      <c r="Q4">
        <v>1462.3779549220301</v>
      </c>
      <c r="R4">
        <v>0</v>
      </c>
      <c r="S4">
        <v>236402.440596923</v>
      </c>
      <c r="T4">
        <v>1407.70202217271</v>
      </c>
      <c r="U4">
        <v>34730.9523834672</v>
      </c>
      <c r="V4">
        <v>847.09639959676201</v>
      </c>
      <c r="W4">
        <v>0.108985320449728</v>
      </c>
      <c r="X4">
        <v>38694.883606707001</v>
      </c>
      <c r="Y4">
        <v>304.684122887456</v>
      </c>
      <c r="Z4">
        <f t="shared" si="1"/>
        <v>2327.5</v>
      </c>
      <c r="AA4" s="10">
        <f t="shared" ref="AA4:AA9" si="3">O4-Z4</f>
        <v>15568.107600592499</v>
      </c>
      <c r="AB4" s="12">
        <f t="shared" si="2"/>
        <v>0.14991564378830438</v>
      </c>
    </row>
    <row r="5" spans="1:28" x14ac:dyDescent="0.35">
      <c r="A5">
        <v>0.43</v>
      </c>
      <c r="B5" t="s">
        <v>69</v>
      </c>
      <c r="C5">
        <v>0</v>
      </c>
      <c r="D5" s="5" t="s">
        <v>22</v>
      </c>
      <c r="E5" s="5" t="s">
        <v>21</v>
      </c>
      <c r="F5">
        <v>4</v>
      </c>
      <c r="G5">
        <f t="shared" si="0"/>
        <v>117790.41551491321</v>
      </c>
      <c r="H5">
        <v>282179.67123287602</v>
      </c>
      <c r="I5">
        <v>0.84310254173290999</v>
      </c>
      <c r="J5">
        <v>19840.537050750401</v>
      </c>
      <c r="K5">
        <v>5280.6330826172398</v>
      </c>
      <c r="L5">
        <v>4877.4899493259099</v>
      </c>
      <c r="M5">
        <v>29998.660082693601</v>
      </c>
      <c r="N5">
        <v>51077.135880394701</v>
      </c>
      <c r="O5">
        <v>15932.544048423801</v>
      </c>
      <c r="P5">
        <v>19346.075503401102</v>
      </c>
      <c r="Q5" s="3">
        <v>1436</v>
      </c>
      <c r="R5">
        <v>0</v>
      </c>
      <c r="S5">
        <f t="shared" ref="S5:S7" si="4">G5+$P$1</f>
        <v>117790.41551491321</v>
      </c>
      <c r="T5">
        <v>1179.82420335646</v>
      </c>
      <c r="U5">
        <v>12780.012944633199</v>
      </c>
      <c r="V5">
        <v>511.20051778532797</v>
      </c>
      <c r="W5">
        <v>0.18120426001776399</v>
      </c>
      <c r="X5">
        <v>11081.318719635499</v>
      </c>
      <c r="Y5">
        <v>77.491739298150407</v>
      </c>
      <c r="Z5">
        <f>IF(A5=0,0,C5*931*(A5/0.43))</f>
        <v>0</v>
      </c>
      <c r="AA5" s="10">
        <f t="shared" si="3"/>
        <v>15932.544048423801</v>
      </c>
      <c r="AB5" s="12">
        <f t="shared" si="2"/>
        <v>0.1072768553096176</v>
      </c>
    </row>
    <row r="6" spans="1:28" x14ac:dyDescent="0.35">
      <c r="A6">
        <v>0.86</v>
      </c>
      <c r="B6" t="s">
        <v>69</v>
      </c>
      <c r="C6">
        <v>0</v>
      </c>
      <c r="D6" s="5" t="s">
        <v>22</v>
      </c>
      <c r="E6" s="5" t="s">
        <v>21</v>
      </c>
      <c r="F6">
        <v>4</v>
      </c>
      <c r="G6">
        <f t="shared" si="0"/>
        <v>117790.41551491321</v>
      </c>
      <c r="H6">
        <v>282179.67123287602</v>
      </c>
      <c r="I6">
        <v>0.84310254173290999</v>
      </c>
      <c r="J6">
        <v>19840.537050750401</v>
      </c>
      <c r="K6">
        <v>5280.6330826172398</v>
      </c>
      <c r="L6">
        <v>4877.4899493259099</v>
      </c>
      <c r="M6">
        <v>29998.660082693601</v>
      </c>
      <c r="N6">
        <v>51077.135880394701</v>
      </c>
      <c r="O6">
        <v>15932.544048423801</v>
      </c>
      <c r="P6">
        <v>19346.075503401102</v>
      </c>
      <c r="Q6" s="3">
        <v>1436</v>
      </c>
      <c r="R6">
        <v>0</v>
      </c>
      <c r="S6">
        <f t="shared" si="4"/>
        <v>117790.41551491321</v>
      </c>
      <c r="T6">
        <v>1179.82420335646</v>
      </c>
      <c r="U6">
        <v>12780.012944633199</v>
      </c>
      <c r="V6">
        <v>511.20051778532797</v>
      </c>
      <c r="W6">
        <v>0.18120426001776399</v>
      </c>
      <c r="X6">
        <v>11081.318719635499</v>
      </c>
      <c r="Y6">
        <v>77.491739298150407</v>
      </c>
      <c r="Z6">
        <f t="shared" si="1"/>
        <v>0</v>
      </c>
      <c r="AA6" s="10">
        <f t="shared" si="3"/>
        <v>15932.544048423801</v>
      </c>
      <c r="AB6" s="12">
        <f t="shared" si="2"/>
        <v>0.1072768553096176</v>
      </c>
    </row>
    <row r="7" spans="1:28" x14ac:dyDescent="0.35">
      <c r="A7">
        <v>1.29</v>
      </c>
      <c r="B7" t="s">
        <v>69</v>
      </c>
      <c r="C7">
        <v>0</v>
      </c>
      <c r="D7" s="5" t="s">
        <v>22</v>
      </c>
      <c r="E7" s="5" t="s">
        <v>21</v>
      </c>
      <c r="F7">
        <v>4</v>
      </c>
      <c r="G7">
        <f t="shared" si="0"/>
        <v>117790.41551491321</v>
      </c>
      <c r="H7">
        <v>282179.67123287602</v>
      </c>
      <c r="I7">
        <v>0.84310254173290999</v>
      </c>
      <c r="J7">
        <v>19840.537050750401</v>
      </c>
      <c r="K7">
        <v>5280.6330826172398</v>
      </c>
      <c r="L7">
        <v>4877.4899493259099</v>
      </c>
      <c r="M7">
        <v>29998.660082693601</v>
      </c>
      <c r="N7">
        <v>51077.135880394701</v>
      </c>
      <c r="O7">
        <v>15932.544048423801</v>
      </c>
      <c r="P7">
        <v>19346.075503401102</v>
      </c>
      <c r="Q7" s="3">
        <v>1436</v>
      </c>
      <c r="R7">
        <v>0</v>
      </c>
      <c r="S7">
        <f t="shared" si="4"/>
        <v>117790.41551491321</v>
      </c>
      <c r="T7">
        <v>1179.82420335646</v>
      </c>
      <c r="U7">
        <v>12780.012944633199</v>
      </c>
      <c r="V7">
        <v>511.20051778532797</v>
      </c>
      <c r="W7">
        <v>0.18120426001776399</v>
      </c>
      <c r="X7">
        <v>11081.318719635499</v>
      </c>
      <c r="Y7">
        <v>77.491739298150407</v>
      </c>
      <c r="Z7">
        <f t="shared" si="1"/>
        <v>0</v>
      </c>
      <c r="AA7" s="10">
        <f t="shared" si="3"/>
        <v>15932.544048423801</v>
      </c>
      <c r="AB7" s="12">
        <f t="shared" si="2"/>
        <v>0.1072768553096176</v>
      </c>
    </row>
    <row r="8" spans="1:28" s="21" customFormat="1" x14ac:dyDescent="0.35">
      <c r="D8" s="22"/>
      <c r="E8" s="22"/>
      <c r="Q8" s="23"/>
      <c r="AA8" s="24"/>
      <c r="AB8" s="25"/>
    </row>
    <row r="9" spans="1:28" x14ac:dyDescent="0.35">
      <c r="A9">
        <v>0</v>
      </c>
      <c r="B9" t="s">
        <v>71</v>
      </c>
      <c r="C9">
        <v>5</v>
      </c>
      <c r="D9" s="5" t="s">
        <v>22</v>
      </c>
      <c r="E9" s="5" t="s">
        <v>21</v>
      </c>
      <c r="F9">
        <v>4</v>
      </c>
      <c r="G9">
        <f t="shared" si="0"/>
        <v>102956.01616633293</v>
      </c>
      <c r="H9">
        <f t="shared" ref="H9:Q9" si="5">H3</f>
        <v>282179.67123285797</v>
      </c>
      <c r="I9">
        <f t="shared" si="5"/>
        <v>0.82949143613233001</v>
      </c>
      <c r="J9">
        <f t="shared" si="5"/>
        <v>19739.4095985942</v>
      </c>
      <c r="K9">
        <f t="shared" si="5"/>
        <v>6280.2265894411403</v>
      </c>
      <c r="L9">
        <f t="shared" si="5"/>
        <v>0</v>
      </c>
      <c r="M9">
        <f t="shared" si="5"/>
        <v>26019.6361880353</v>
      </c>
      <c r="N9">
        <f t="shared" si="5"/>
        <v>50944.945205466604</v>
      </c>
      <c r="O9">
        <f t="shared" si="5"/>
        <v>15577.281609678699</v>
      </c>
      <c r="P9">
        <f t="shared" si="5"/>
        <v>19971.775208230301</v>
      </c>
      <c r="Q9">
        <f t="shared" si="5"/>
        <v>1462.3779549220301</v>
      </c>
      <c r="R9">
        <v>11020</v>
      </c>
      <c r="S9">
        <f t="shared" ref="S9:Y10" si="6">S3</f>
        <v>234065.620738292</v>
      </c>
      <c r="T9">
        <f t="shared" si="6"/>
        <v>1403.15815187257</v>
      </c>
      <c r="U9">
        <f t="shared" si="6"/>
        <v>34638.685534293101</v>
      </c>
      <c r="V9">
        <f t="shared" si="6"/>
        <v>865.96713835732805</v>
      </c>
      <c r="W9">
        <f t="shared" si="6"/>
        <v>0.1767383415172</v>
      </c>
      <c r="X9">
        <f t="shared" si="6"/>
        <v>38493.267558113897</v>
      </c>
      <c r="Y9">
        <f t="shared" si="6"/>
        <v>300.72865279776499</v>
      </c>
      <c r="Z9">
        <f t="shared" si="1"/>
        <v>0</v>
      </c>
      <c r="AA9" s="10">
        <f t="shared" si="3"/>
        <v>15577.281609678699</v>
      </c>
      <c r="AB9" s="12">
        <f t="shared" si="2"/>
        <v>0.53535589967557295</v>
      </c>
    </row>
    <row r="10" spans="1:28" x14ac:dyDescent="0.35">
      <c r="A10">
        <v>0.215</v>
      </c>
      <c r="B10" t="s">
        <v>71</v>
      </c>
      <c r="C10">
        <v>5</v>
      </c>
      <c r="D10" s="5" t="s">
        <v>22</v>
      </c>
      <c r="E10" s="5" t="s">
        <v>21</v>
      </c>
      <c r="F10">
        <v>4</v>
      </c>
      <c r="G10">
        <f t="shared" si="0"/>
        <v>105292.83602496333</v>
      </c>
      <c r="H10">
        <f t="shared" ref="H10:Q10" si="7">H4</f>
        <v>282179.67123287602</v>
      </c>
      <c r="I10">
        <f t="shared" si="7"/>
        <v>0.83777275508208204</v>
      </c>
      <c r="J10">
        <f t="shared" si="7"/>
        <v>19752.187448396198</v>
      </c>
      <c r="K10">
        <f t="shared" si="7"/>
        <v>6300.5639513368096</v>
      </c>
      <c r="L10">
        <f t="shared" si="7"/>
        <v>0</v>
      </c>
      <c r="M10">
        <f t="shared" si="7"/>
        <v>26052.751399732999</v>
      </c>
      <c r="N10">
        <f t="shared" si="7"/>
        <v>50940.911465697704</v>
      </c>
      <c r="O10">
        <f t="shared" si="7"/>
        <v>17895.607600592499</v>
      </c>
      <c r="P10">
        <f t="shared" si="7"/>
        <v>19961.187604018101</v>
      </c>
      <c r="Q10">
        <f t="shared" si="7"/>
        <v>1462.3779549220301</v>
      </c>
      <c r="R10">
        <v>11020</v>
      </c>
      <c r="S10">
        <f t="shared" si="6"/>
        <v>236402.440596923</v>
      </c>
      <c r="T10">
        <f t="shared" si="6"/>
        <v>1407.70202217271</v>
      </c>
      <c r="U10">
        <f t="shared" si="6"/>
        <v>34730.9523834672</v>
      </c>
      <c r="V10">
        <f t="shared" si="6"/>
        <v>847.09639959676201</v>
      </c>
      <c r="W10">
        <f t="shared" si="6"/>
        <v>0.108985320449728</v>
      </c>
      <c r="X10">
        <f t="shared" si="6"/>
        <v>38694.883606707001</v>
      </c>
      <c r="Y10">
        <f t="shared" si="6"/>
        <v>304.684122887456</v>
      </c>
      <c r="Z10">
        <f>IF(A10=0,0,C10*931*(A10/0.43))</f>
        <v>2327.5</v>
      </c>
      <c r="AA10" s="10">
        <f t="shared" ref="AA10" si="8">O10-Z10</f>
        <v>15568.107600592499</v>
      </c>
      <c r="AB10" s="12">
        <f t="shared" si="2"/>
        <v>0.46792185071735731</v>
      </c>
    </row>
    <row r="11" spans="1:28" x14ac:dyDescent="0.35">
      <c r="A11">
        <v>0.43</v>
      </c>
      <c r="B11" t="s">
        <v>71</v>
      </c>
      <c r="C11">
        <v>5</v>
      </c>
      <c r="D11" s="5" t="s">
        <v>22</v>
      </c>
      <c r="E11" s="5" t="s">
        <v>21</v>
      </c>
      <c r="F11">
        <v>4</v>
      </c>
      <c r="G11">
        <f t="shared" si="0"/>
        <v>107555.29824632255</v>
      </c>
      <c r="H11">
        <v>282179.67123287602</v>
      </c>
      <c r="I11">
        <v>0.80673743017586796</v>
      </c>
      <c r="J11">
        <v>19617.269555424798</v>
      </c>
      <c r="K11">
        <v>6177.79087142139</v>
      </c>
      <c r="L11" s="8">
        <v>1.4897343661976701E-5</v>
      </c>
      <c r="M11">
        <v>25795.060441743601</v>
      </c>
      <c r="N11">
        <v>50989.945229661498</v>
      </c>
      <c r="O11">
        <v>20356.552509954701</v>
      </c>
      <c r="P11">
        <v>19971.3621100407</v>
      </c>
      <c r="Q11">
        <v>1462.3779549220301</v>
      </c>
      <c r="R11">
        <v>11020</v>
      </c>
      <c r="S11">
        <f>G11+$P$1</f>
        <v>107555.29824632255</v>
      </c>
      <c r="T11">
        <v>1380.27146414547</v>
      </c>
      <c r="U11">
        <v>33980.634383525299</v>
      </c>
      <c r="V11">
        <v>943.906510653483</v>
      </c>
      <c r="W11">
        <v>0.36911323114551098</v>
      </c>
      <c r="X11">
        <v>36719.7300995962</v>
      </c>
      <c r="Y11">
        <v>278.17977348178903</v>
      </c>
      <c r="Z11">
        <f t="shared" si="1"/>
        <v>4655</v>
      </c>
      <c r="AA11" s="10">
        <f t="shared" ref="AA11:AA12" si="9">O11-Z11</f>
        <v>15701.552509954701</v>
      </c>
      <c r="AB11" s="12">
        <f t="shared" si="2"/>
        <v>0.40263355404451467</v>
      </c>
    </row>
    <row r="12" spans="1:28" x14ac:dyDescent="0.35">
      <c r="A12">
        <v>0.86</v>
      </c>
      <c r="B12" t="s">
        <v>71</v>
      </c>
      <c r="C12">
        <v>1</v>
      </c>
      <c r="D12" t="s">
        <v>22</v>
      </c>
      <c r="E12" t="s">
        <v>21</v>
      </c>
      <c r="F12">
        <v>4</v>
      </c>
      <c r="G12">
        <f t="shared" si="0"/>
        <v>109004.26297531527</v>
      </c>
      <c r="H12">
        <v>282179.67123287701</v>
      </c>
      <c r="I12">
        <v>0.81196713201368298</v>
      </c>
      <c r="J12">
        <v>19558.449480133298</v>
      </c>
      <c r="K12">
        <v>5823.123014629</v>
      </c>
      <c r="L12">
        <v>4874.6014381139503</v>
      </c>
      <c r="M12">
        <v>30256.1739328763</v>
      </c>
      <c r="N12">
        <v>51073.207101159802</v>
      </c>
      <c r="O12">
        <v>17785.318787562501</v>
      </c>
      <c r="P12">
        <v>19473.9360150432</v>
      </c>
      <c r="Q12">
        <v>1435.62713867346</v>
      </c>
      <c r="R12">
        <v>11020</v>
      </c>
      <c r="S12">
        <v>229120.61836352301</v>
      </c>
      <c r="T12">
        <v>1301.0298834949101</v>
      </c>
      <c r="U12">
        <v>18243.0148495709</v>
      </c>
      <c r="V12">
        <v>200.47269065462501</v>
      </c>
      <c r="W12">
        <v>0.60810875374283502</v>
      </c>
      <c r="X12">
        <v>15218.199622022101</v>
      </c>
      <c r="Y12">
        <v>197.63895613015799</v>
      </c>
      <c r="Z12">
        <f>IF(A12=0,0,C12*931*(A12/0.43))</f>
        <v>1862</v>
      </c>
      <c r="AA12" s="10">
        <f t="shared" si="9"/>
        <v>15923.318787562501</v>
      </c>
      <c r="AB12" s="12">
        <f t="shared" si="2"/>
        <v>0.36082050708979968</v>
      </c>
    </row>
    <row r="13" spans="1:28" x14ac:dyDescent="0.35">
      <c r="A13">
        <v>1.29</v>
      </c>
      <c r="B13" t="s">
        <v>71</v>
      </c>
      <c r="C13">
        <v>1</v>
      </c>
      <c r="D13" t="s">
        <v>22</v>
      </c>
      <c r="E13" t="s">
        <v>21</v>
      </c>
      <c r="F13">
        <v>4</v>
      </c>
      <c r="G13">
        <f t="shared" si="0"/>
        <v>109934.94418775277</v>
      </c>
      <c r="H13">
        <v>282179.67123287701</v>
      </c>
      <c r="I13">
        <v>0.81196713201368298</v>
      </c>
      <c r="J13">
        <v>19558.449480133298</v>
      </c>
      <c r="K13">
        <v>5823.123014629</v>
      </c>
      <c r="L13">
        <v>4874.6014381139503</v>
      </c>
      <c r="M13">
        <v>30256.1739328763</v>
      </c>
      <c r="N13">
        <v>51073.207101159802</v>
      </c>
      <c r="O13">
        <f>17785-Z12+Z13</f>
        <v>18716</v>
      </c>
      <c r="P13">
        <v>19473.9360150432</v>
      </c>
      <c r="Q13">
        <v>1435.62713867346</v>
      </c>
      <c r="R13">
        <v>11020</v>
      </c>
      <c r="S13">
        <v>229120.61836352301</v>
      </c>
      <c r="T13">
        <v>1301.0298834949101</v>
      </c>
      <c r="U13">
        <v>18243.0148495709</v>
      </c>
      <c r="V13">
        <v>200.47269065462501</v>
      </c>
      <c r="W13">
        <v>0.60810875374283502</v>
      </c>
      <c r="X13">
        <v>15218.199622022101</v>
      </c>
      <c r="Y13">
        <v>197.63895613015799</v>
      </c>
      <c r="Z13">
        <f>IF(A13=0,0,C13*931*(A13/0.43))</f>
        <v>2793</v>
      </c>
      <c r="AA13" s="10">
        <f>O13-Z13</f>
        <v>15923</v>
      </c>
      <c r="AB13" s="12">
        <f t="shared" si="2"/>
        <v>0.33396366478241479</v>
      </c>
    </row>
    <row r="14" spans="1:28" s="21" customFormat="1" x14ac:dyDescent="0.35">
      <c r="AA14" s="24"/>
      <c r="AB14" s="25"/>
    </row>
    <row r="15" spans="1:28" x14ac:dyDescent="0.35">
      <c r="A15">
        <v>0</v>
      </c>
      <c r="B15" t="s">
        <v>72</v>
      </c>
      <c r="D15" s="5"/>
      <c r="E15" s="5"/>
    </row>
    <row r="16" spans="1:28" x14ac:dyDescent="0.35">
      <c r="A16">
        <v>0.215</v>
      </c>
      <c r="B16" t="s">
        <v>72</v>
      </c>
      <c r="C16">
        <v>5</v>
      </c>
      <c r="D16" t="s">
        <v>22</v>
      </c>
      <c r="E16" t="s">
        <v>21</v>
      </c>
      <c r="F16">
        <v>4</v>
      </c>
      <c r="G16">
        <f t="shared" ref="G16:G17" si="10">M16+N16+O16+P16+Q16-R16</f>
        <v>122207.43848874117</v>
      </c>
      <c r="H16">
        <v>282179.67123287602</v>
      </c>
      <c r="I16">
        <v>0.85862337439302705</v>
      </c>
      <c r="J16">
        <v>22422.4091975925</v>
      </c>
      <c r="K16">
        <v>9246.5948656492601</v>
      </c>
      <c r="L16">
        <v>0</v>
      </c>
      <c r="M16">
        <v>31669.0040632417</v>
      </c>
      <c r="N16">
        <v>50981.234041832096</v>
      </c>
      <c r="O16">
        <v>18099.530680245101</v>
      </c>
      <c r="P16">
        <v>19984.310186886301</v>
      </c>
      <c r="Q16">
        <v>1473.35951653596</v>
      </c>
      <c r="R16">
        <v>0</v>
      </c>
      <c r="S16">
        <v>242286.06149908699</v>
      </c>
      <c r="T16">
        <v>1467.5600519750701</v>
      </c>
      <c r="U16">
        <v>37047.600328837303</v>
      </c>
      <c r="V16">
        <v>823.280007307495</v>
      </c>
      <c r="W16">
        <v>1.74944020492494</v>
      </c>
      <c r="X16">
        <v>43335.021637601203</v>
      </c>
      <c r="Y16">
        <v>352.31724908618901</v>
      </c>
      <c r="Z16">
        <f>IF(A16=0,0,C16*931*(A16/0.43))</f>
        <v>2327.5</v>
      </c>
      <c r="AA16" s="10">
        <f>O16-Z16</f>
        <v>15772.030680245101</v>
      </c>
    </row>
    <row r="17" spans="1:27" x14ac:dyDescent="0.35">
      <c r="A17">
        <v>0.43</v>
      </c>
      <c r="B17" t="s">
        <v>72</v>
      </c>
      <c r="C17">
        <v>5</v>
      </c>
      <c r="D17" s="5" t="s">
        <v>22</v>
      </c>
      <c r="E17" s="5" t="s">
        <v>21</v>
      </c>
      <c r="F17">
        <v>4</v>
      </c>
      <c r="G17">
        <f t="shared" si="10"/>
        <v>123759.49613284627</v>
      </c>
      <c r="H17">
        <v>282179.67123286799</v>
      </c>
      <c r="I17">
        <v>0.86412362052107095</v>
      </c>
      <c r="J17">
        <v>22235.129466751401</v>
      </c>
      <c r="K17">
        <v>9205.4053509202495</v>
      </c>
      <c r="L17">
        <v>0</v>
      </c>
      <c r="M17">
        <v>31440.534817671702</v>
      </c>
      <c r="N17">
        <v>50868.697977035903</v>
      </c>
      <c r="O17">
        <v>20030.700516482098</v>
      </c>
      <c r="P17">
        <v>19946.203305120602</v>
      </c>
      <c r="Q17">
        <v>1473.35951653596</v>
      </c>
      <c r="R17">
        <v>0</v>
      </c>
      <c r="S17">
        <f>G17+$P$1</f>
        <v>123759.49613284627</v>
      </c>
      <c r="T17">
        <v>1461.0227171772699</v>
      </c>
      <c r="U17">
        <v>37816.4634857485</v>
      </c>
      <c r="V17">
        <v>822.09703229888203</v>
      </c>
      <c r="W17">
        <v>1.67282971584568</v>
      </c>
      <c r="X17">
        <v>43765.040311224599</v>
      </c>
      <c r="Y17">
        <v>358.72983861659498</v>
      </c>
      <c r="Z17">
        <f>IF(A17=0,0,C17*931*(A17/0.43))</f>
        <v>4655</v>
      </c>
      <c r="AA17" s="10">
        <f>O17-Z17</f>
        <v>15375.700516482098</v>
      </c>
    </row>
    <row r="18" spans="1:27" x14ac:dyDescent="0.35">
      <c r="A18">
        <v>0.86</v>
      </c>
      <c r="B18" t="s">
        <v>72</v>
      </c>
      <c r="C18">
        <v>5</v>
      </c>
      <c r="D18" t="s">
        <v>22</v>
      </c>
      <c r="E18" t="s">
        <v>21</v>
      </c>
      <c r="F18">
        <v>4</v>
      </c>
      <c r="G18">
        <f t="shared" ref="G17:G19" si="11">M18+N18+O18+P18+Q18-R18</f>
        <v>128510.54538627157</v>
      </c>
      <c r="H18">
        <v>282179.67123288399</v>
      </c>
      <c r="I18">
        <v>0.88096058553932999</v>
      </c>
      <c r="J18">
        <v>22250.673834736099</v>
      </c>
      <c r="K18">
        <v>9244.6813880767095</v>
      </c>
      <c r="L18">
        <v>0</v>
      </c>
      <c r="M18">
        <v>31495.355222812799</v>
      </c>
      <c r="N18">
        <v>50878.4272491683</v>
      </c>
      <c r="O18">
        <v>24715.181268666001</v>
      </c>
      <c r="P18">
        <v>19948.222129088499</v>
      </c>
      <c r="Q18">
        <v>1473.35951653596</v>
      </c>
      <c r="R18">
        <v>0</v>
      </c>
      <c r="S18">
        <v>248589.16839661699</v>
      </c>
      <c r="T18">
        <v>1467.25635714281</v>
      </c>
      <c r="U18">
        <v>37808.968336081402</v>
      </c>
      <c r="V18">
        <v>821.934094262641</v>
      </c>
      <c r="W18">
        <v>1.54750201311078</v>
      </c>
      <c r="X18">
        <v>43921.314308243796</v>
      </c>
      <c r="Y18">
        <v>360.010773018392</v>
      </c>
      <c r="Z18">
        <f>IF(A18=0,0,C18*931*(A18/0.43))</f>
        <v>9310</v>
      </c>
      <c r="AA18" s="10">
        <f>O18-Z18</f>
        <v>15405.181268666001</v>
      </c>
    </row>
    <row r="19" spans="1:27" x14ac:dyDescent="0.35">
      <c r="A19">
        <v>1.29</v>
      </c>
      <c r="B19" t="s">
        <v>72</v>
      </c>
      <c r="C19">
        <v>5</v>
      </c>
      <c r="D19" t="s">
        <v>22</v>
      </c>
      <c r="E19" t="s">
        <v>21</v>
      </c>
      <c r="F19">
        <v>4</v>
      </c>
      <c r="G19">
        <f t="shared" si="11"/>
        <v>133101.99841632816</v>
      </c>
      <c r="H19">
        <v>282179.67123286898</v>
      </c>
      <c r="I19">
        <v>0.89723196685467799</v>
      </c>
      <c r="J19">
        <v>22239.845837604698</v>
      </c>
      <c r="K19">
        <v>9215.99935297312</v>
      </c>
      <c r="L19">
        <v>0</v>
      </c>
      <c r="M19">
        <v>31455.845190577798</v>
      </c>
      <c r="N19">
        <v>50871.400221928801</v>
      </c>
      <c r="O19">
        <v>29354.629466349801</v>
      </c>
      <c r="P19">
        <v>19946.7640209358</v>
      </c>
      <c r="Q19">
        <v>1473.35951653596</v>
      </c>
      <c r="R19">
        <v>0</v>
      </c>
      <c r="S19">
        <v>253180.62142667401</v>
      </c>
      <c r="T19">
        <v>1462.70412903026</v>
      </c>
      <c r="U19">
        <v>37658.737638395498</v>
      </c>
      <c r="V19">
        <v>818.66820953033698</v>
      </c>
      <c r="W19">
        <v>1.43175276084397</v>
      </c>
      <c r="X19">
        <v>43571.5293994557</v>
      </c>
      <c r="Y19">
        <v>357.14368360209602</v>
      </c>
      <c r="Z19">
        <f>IF(A19=0,0,C19*931*(A19/0.43))</f>
        <v>13965</v>
      </c>
      <c r="AA19" s="10">
        <f>O19-Z19</f>
        <v>15389.629466349801</v>
      </c>
    </row>
  </sheetData>
  <phoneticPr fontId="2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5A87-71DC-49C4-874A-7F05794F4461}">
  <dimension ref="A3:P22"/>
  <sheetViews>
    <sheetView workbookViewId="0">
      <selection activeCell="M5" sqref="M5"/>
    </sheetView>
  </sheetViews>
  <sheetFormatPr defaultRowHeight="14.5" x14ac:dyDescent="0.35"/>
  <cols>
    <col min="2" max="2" width="12.6328125" customWidth="1"/>
    <col min="3" max="3" width="9.7265625" customWidth="1"/>
    <col min="4" max="4" width="12.453125" customWidth="1"/>
    <col min="5" max="5" width="14" customWidth="1"/>
    <col min="6" max="6" width="20.90625" bestFit="1" customWidth="1"/>
    <col min="7" max="7" width="12.26953125" customWidth="1"/>
    <col min="8" max="8" width="18.54296875" customWidth="1"/>
    <col min="9" max="9" width="20.1796875" bestFit="1" customWidth="1"/>
    <col min="10" max="10" width="17.08984375" bestFit="1" customWidth="1"/>
    <col min="11" max="11" width="9.36328125" bestFit="1" customWidth="1"/>
    <col min="12" max="12" width="10.26953125" customWidth="1"/>
    <col min="13" max="13" width="9.36328125" bestFit="1" customWidth="1"/>
    <col min="14" max="14" width="12.1796875" customWidth="1"/>
  </cols>
  <sheetData>
    <row r="3" spans="1:16" x14ac:dyDescent="0.35">
      <c r="C3" t="s">
        <v>76</v>
      </c>
      <c r="D3" t="s">
        <v>77</v>
      </c>
      <c r="E3" t="s">
        <v>79</v>
      </c>
      <c r="F3" t="s">
        <v>80</v>
      </c>
      <c r="G3" t="s">
        <v>81</v>
      </c>
      <c r="H3" t="s">
        <v>82</v>
      </c>
      <c r="I3" t="s">
        <v>75</v>
      </c>
    </row>
    <row r="4" spans="1:16" x14ac:dyDescent="0.35">
      <c r="B4" t="s">
        <v>101</v>
      </c>
      <c r="C4">
        <v>8000</v>
      </c>
      <c r="D4" s="10">
        <v>188119.78330000001</v>
      </c>
      <c r="E4" s="14">
        <f>D4/$D$9</f>
        <v>0.47659528192421896</v>
      </c>
      <c r="F4" s="10">
        <v>23102.276630754801</v>
      </c>
      <c r="G4" s="10">
        <v>21941.326830000002</v>
      </c>
      <c r="H4" s="10">
        <f>(J13+K13+L13)-(J18+K18+L18)</f>
        <v>227.38576910548727</v>
      </c>
      <c r="I4" s="13">
        <f>(G4+H4-F4)/F4*100</f>
        <v>-4.0410044714229976</v>
      </c>
    </row>
    <row r="5" spans="1:16" x14ac:dyDescent="0.35">
      <c r="C5">
        <v>10000</v>
      </c>
      <c r="D5" s="10">
        <v>235149.72602739499</v>
      </c>
      <c r="E5" s="14">
        <f>D5/$D$9</f>
        <v>0.59574409455759325</v>
      </c>
      <c r="F5" s="10">
        <v>34228.405091644003</v>
      </c>
      <c r="G5" s="10">
        <v>25825.974624668099</v>
      </c>
      <c r="H5" s="10">
        <f>(J14+K14+L14)-(J19+K19+L19)</f>
        <v>-12815.109372157822</v>
      </c>
    </row>
    <row r="6" spans="1:16" x14ac:dyDescent="0.35">
      <c r="C6">
        <v>12000</v>
      </c>
      <c r="D6" s="10">
        <v>282179.67123257701</v>
      </c>
      <c r="E6" s="14">
        <f>D6/$D$9</f>
        <v>0.71489291346835959</v>
      </c>
      <c r="F6" s="10">
        <v>34654.757319050303</v>
      </c>
      <c r="G6" s="10">
        <v>29978.252519511701</v>
      </c>
      <c r="H6" s="10">
        <f t="shared" ref="H6:H8" si="0">(J15+K15+L15)-(J20+K20+L20)</f>
        <v>1000.8858604910201</v>
      </c>
      <c r="I6" s="13">
        <f>(G6+H6-F6)/F6*100</f>
        <v>-10.60639064705564</v>
      </c>
    </row>
    <row r="7" spans="1:16" x14ac:dyDescent="0.35">
      <c r="C7">
        <v>14000</v>
      </c>
      <c r="D7" s="10">
        <v>329209.6164</v>
      </c>
      <c r="E7" s="14">
        <f>D7/$D$9</f>
        <v>0.83404173228346457</v>
      </c>
      <c r="F7" s="10">
        <v>45897.885924687798</v>
      </c>
      <c r="G7" s="10">
        <v>34616.141121013003</v>
      </c>
      <c r="H7" s="10">
        <f t="shared" si="0"/>
        <v>-13034.940154857992</v>
      </c>
    </row>
    <row r="8" spans="1:16" x14ac:dyDescent="0.35">
      <c r="B8" t="s">
        <v>102</v>
      </c>
      <c r="C8">
        <v>16000</v>
      </c>
      <c r="D8" s="10">
        <v>376239.56164383498</v>
      </c>
      <c r="E8" s="14">
        <f>D8/$D$9</f>
        <v>0.9531905512921568</v>
      </c>
      <c r="F8" s="10">
        <v>46518.361670285398</v>
      </c>
      <c r="G8" s="10">
        <v>43908.345722562502</v>
      </c>
      <c r="H8" s="10">
        <f t="shared" si="0"/>
        <v>155.84142021488515</v>
      </c>
      <c r="I8" s="13">
        <f>(G8+H8-F8)/F8*100</f>
        <v>-5.2757114382118635</v>
      </c>
    </row>
    <row r="9" spans="1:16" x14ac:dyDescent="0.35">
      <c r="B9" t="s">
        <v>78</v>
      </c>
      <c r="D9" s="10">
        <v>394716</v>
      </c>
    </row>
    <row r="11" spans="1:16" x14ac:dyDescent="0.35">
      <c r="A11" t="s">
        <v>83</v>
      </c>
    </row>
    <row r="12" spans="1:16" x14ac:dyDescent="0.35">
      <c r="A12" s="18" t="s">
        <v>0</v>
      </c>
      <c r="B12" s="19" t="s">
        <v>98</v>
      </c>
      <c r="C12" s="19" t="s">
        <v>85</v>
      </c>
      <c r="D12" s="19" t="s">
        <v>86</v>
      </c>
      <c r="E12" s="19" t="s">
        <v>87</v>
      </c>
      <c r="F12" s="19" t="s">
        <v>4</v>
      </c>
      <c r="G12" s="19" t="s">
        <v>88</v>
      </c>
      <c r="H12" s="19" t="s">
        <v>89</v>
      </c>
      <c r="I12" s="19" t="s">
        <v>90</v>
      </c>
      <c r="J12" s="19" t="s">
        <v>91</v>
      </c>
      <c r="K12" s="19" t="s">
        <v>92</v>
      </c>
      <c r="L12" s="19" t="s">
        <v>93</v>
      </c>
      <c r="M12" s="19" t="s">
        <v>94</v>
      </c>
      <c r="N12" s="19" t="s">
        <v>95</v>
      </c>
      <c r="O12" s="19" t="s">
        <v>96</v>
      </c>
      <c r="P12" s="19" t="s">
        <v>97</v>
      </c>
    </row>
    <row r="13" spans="1:16" x14ac:dyDescent="0.35">
      <c r="A13" s="15" t="s">
        <v>84</v>
      </c>
      <c r="B13" s="16" t="s">
        <v>99</v>
      </c>
      <c r="C13" s="17">
        <f t="shared" ref="C13:C16" si="1">N13+M13+L13+K13+J13</f>
        <v>80541.55863</v>
      </c>
      <c r="D13" s="16">
        <v>8000</v>
      </c>
      <c r="E13" s="16">
        <v>10</v>
      </c>
      <c r="F13" s="20">
        <v>188119.78330000001</v>
      </c>
      <c r="G13" s="20">
        <v>200683.70370000001</v>
      </c>
      <c r="H13" s="20">
        <v>13644.59908</v>
      </c>
      <c r="I13" s="20">
        <v>8296.7277529999992</v>
      </c>
      <c r="J13" s="20">
        <v>33953.835149999999</v>
      </c>
      <c r="K13" s="20">
        <v>10359.425139999999</v>
      </c>
      <c r="L13" s="20">
        <v>12877.13408</v>
      </c>
      <c r="M13" s="20">
        <v>21941.326830000002</v>
      </c>
      <c r="N13" s="20">
        <v>1409.83743</v>
      </c>
      <c r="O13" s="16">
        <v>0</v>
      </c>
      <c r="P13" s="16">
        <v>1.0667868110000001</v>
      </c>
    </row>
    <row r="14" spans="1:16" x14ac:dyDescent="0.35">
      <c r="A14" s="15" t="s">
        <v>84</v>
      </c>
      <c r="B14" s="16" t="s">
        <v>99</v>
      </c>
      <c r="C14" s="17">
        <f t="shared" si="1"/>
        <v>99135.784106883366</v>
      </c>
      <c r="D14" s="16">
        <v>10000</v>
      </c>
      <c r="E14" s="16">
        <v>10</v>
      </c>
      <c r="F14" s="20">
        <v>235149.72602739499</v>
      </c>
      <c r="G14" s="20">
        <v>219262.567779392</v>
      </c>
      <c r="H14" s="20">
        <v>16362.727098568001</v>
      </c>
      <c r="I14" s="20">
        <v>9463.2475261001691</v>
      </c>
      <c r="J14" s="20">
        <v>42544.121004540699</v>
      </c>
      <c r="K14" s="20">
        <v>13222.943008009999</v>
      </c>
      <c r="L14" s="20">
        <v>16117.5466152914</v>
      </c>
      <c r="M14" s="20">
        <v>25825.974624668099</v>
      </c>
      <c r="N14" s="20">
        <v>1425.19885437316</v>
      </c>
      <c r="O14" s="16">
        <v>0.107784431137724</v>
      </c>
      <c r="P14" s="16">
        <v>0.93243811712477798</v>
      </c>
    </row>
    <row r="15" spans="1:16" x14ac:dyDescent="0.35">
      <c r="A15" s="15" t="s">
        <v>84</v>
      </c>
      <c r="B15" s="16" t="s">
        <v>99</v>
      </c>
      <c r="C15" s="17">
        <f t="shared" si="1"/>
        <v>117856.65704778227</v>
      </c>
      <c r="D15" s="16">
        <v>12000</v>
      </c>
      <c r="E15" s="16">
        <v>10</v>
      </c>
      <c r="F15" s="20">
        <v>282179.67123257701</v>
      </c>
      <c r="G15" s="20">
        <v>237975.63378803901</v>
      </c>
      <c r="H15" s="20">
        <v>19793.405782867099</v>
      </c>
      <c r="I15" s="20">
        <v>10184.8467366445</v>
      </c>
      <c r="J15" s="20">
        <v>51100.150850479702</v>
      </c>
      <c r="K15" s="20">
        <v>15994.396781481701</v>
      </c>
      <c r="L15" s="20">
        <v>19350.851109684401</v>
      </c>
      <c r="M15" s="20">
        <v>29978.252519511701</v>
      </c>
      <c r="N15" s="20">
        <v>1433.00578662475</v>
      </c>
      <c r="O15" s="16">
        <v>0.16167664670658599</v>
      </c>
      <c r="P15" s="16">
        <v>0.84334790223742195</v>
      </c>
    </row>
    <row r="16" spans="1:16" x14ac:dyDescent="0.35">
      <c r="A16" s="15" t="s">
        <v>84</v>
      </c>
      <c r="B16" s="16" t="s">
        <v>99</v>
      </c>
      <c r="C16" s="17">
        <f t="shared" si="1"/>
        <v>135947.17095224367</v>
      </c>
      <c r="D16" s="16">
        <v>14000</v>
      </c>
      <c r="E16" s="16">
        <v>10</v>
      </c>
      <c r="F16" s="20">
        <v>329210.46374056302</v>
      </c>
      <c r="G16" s="20">
        <v>256066.1476925</v>
      </c>
      <c r="H16" s="20">
        <v>23209.551664587099</v>
      </c>
      <c r="I16" s="20">
        <v>11406.5894564259</v>
      </c>
      <c r="J16" s="20">
        <v>59371.758428007903</v>
      </c>
      <c r="K16" s="20">
        <v>18001.101366829</v>
      </c>
      <c r="L16" s="20">
        <v>22525.164249769001</v>
      </c>
      <c r="M16" s="20">
        <v>34616.141121013003</v>
      </c>
      <c r="N16" s="20">
        <v>1433.00578662475</v>
      </c>
      <c r="O16" s="16">
        <v>0.16167664670658599</v>
      </c>
      <c r="P16" s="16">
        <v>0.77781898176327602</v>
      </c>
    </row>
    <row r="17" spans="1:16" x14ac:dyDescent="0.35">
      <c r="A17" s="15" t="s">
        <v>84</v>
      </c>
      <c r="B17" s="16" t="s">
        <v>99</v>
      </c>
      <c r="C17" s="17">
        <f t="shared" ref="C17:C21" si="2">N17+M17+L17+K17+J17</f>
        <v>159412.81974307698</v>
      </c>
      <c r="D17" s="16">
        <v>16000</v>
      </c>
      <c r="E17" s="16">
        <v>10</v>
      </c>
      <c r="F17" s="20">
        <v>376239.56164383498</v>
      </c>
      <c r="G17" s="20">
        <v>279542.18685761699</v>
      </c>
      <c r="H17" s="20">
        <v>27786.2889118024</v>
      </c>
      <c r="I17" s="20">
        <v>16122.056810759999</v>
      </c>
      <c r="J17" s="20">
        <v>67830.922645459694</v>
      </c>
      <c r="K17" s="20">
        <v>20512.593102821898</v>
      </c>
      <c r="L17" s="20">
        <v>25738.3428598918</v>
      </c>
      <c r="M17" s="20">
        <v>43908.345722562502</v>
      </c>
      <c r="N17" s="20">
        <v>1422.6154123410699</v>
      </c>
      <c r="O17" s="16">
        <v>8.9820359281437098E-2</v>
      </c>
      <c r="P17" s="16">
        <v>0.74298988026741397</v>
      </c>
    </row>
    <row r="18" spans="1:16" x14ac:dyDescent="0.35">
      <c r="A18" s="15" t="s">
        <v>84</v>
      </c>
      <c r="B18" s="16" t="s">
        <v>100</v>
      </c>
      <c r="C18" s="17">
        <f t="shared" si="2"/>
        <v>81475.122661244794</v>
      </c>
      <c r="D18" s="16">
        <v>8000</v>
      </c>
      <c r="E18">
        <v>10</v>
      </c>
      <c r="F18" s="4">
        <v>188119.780842915</v>
      </c>
      <c r="G18" s="4">
        <v>201617.267758531</v>
      </c>
      <c r="H18" s="4">
        <v>13751.620935814901</v>
      </c>
      <c r="I18" s="4">
        <v>9350.6556949398891</v>
      </c>
      <c r="J18" s="4">
        <v>33895.456009555302</v>
      </c>
      <c r="K18" s="4">
        <v>10202.5322632261</v>
      </c>
      <c r="L18" s="4">
        <v>12865.0203281131</v>
      </c>
      <c r="M18" s="4">
        <v>23102.276630754801</v>
      </c>
      <c r="N18" s="4">
        <v>1409.83742959549</v>
      </c>
      <c r="O18">
        <v>0</v>
      </c>
      <c r="P18">
        <v>1.0717494293005001</v>
      </c>
    </row>
    <row r="19" spans="1:16" x14ac:dyDescent="0.35">
      <c r="A19" s="15" t="s">
        <v>84</v>
      </c>
      <c r="B19" s="16" t="s">
        <v>100</v>
      </c>
      <c r="C19" s="17">
        <f t="shared" si="2"/>
        <v>120337.96252123939</v>
      </c>
      <c r="D19" s="16">
        <v>10000</v>
      </c>
      <c r="E19">
        <v>10</v>
      </c>
      <c r="F19" s="4">
        <v>279720</v>
      </c>
      <c r="G19" s="4">
        <v>240480.10761852501</v>
      </c>
      <c r="H19" s="4">
        <v>20374.4461607105</v>
      </c>
      <c r="I19" s="4">
        <v>13853.958930933501</v>
      </c>
      <c r="J19" s="4">
        <v>50400</v>
      </c>
      <c r="K19" s="4">
        <v>15170.3999999999</v>
      </c>
      <c r="L19" s="4">
        <v>19129.32</v>
      </c>
      <c r="M19" s="4">
        <v>34228.405091644003</v>
      </c>
      <c r="N19" s="4">
        <v>1409.83742959549</v>
      </c>
      <c r="O19">
        <v>0</v>
      </c>
      <c r="P19">
        <v>0.85971724445347397</v>
      </c>
    </row>
    <row r="20" spans="1:16" x14ac:dyDescent="0.35">
      <c r="A20" s="15" t="s">
        <v>84</v>
      </c>
      <c r="B20" s="16" t="s">
        <v>100</v>
      </c>
      <c r="C20" s="17">
        <f t="shared" si="2"/>
        <v>121509.10762980059</v>
      </c>
      <c r="D20" s="16">
        <v>12000</v>
      </c>
      <c r="E20">
        <v>10</v>
      </c>
      <c r="F20" s="4">
        <v>282179.67123287602</v>
      </c>
      <c r="G20" s="4">
        <v>241651.25272708701</v>
      </c>
      <c r="H20" s="4">
        <v>20628.2321749736</v>
      </c>
      <c r="I20" s="4">
        <v>14026.525144076701</v>
      </c>
      <c r="J20" s="4">
        <v>50843.184005923598</v>
      </c>
      <c r="K20" s="4">
        <v>15303.798385783</v>
      </c>
      <c r="L20" s="4">
        <v>19297.5304894482</v>
      </c>
      <c r="M20" s="4">
        <v>34654.757319050303</v>
      </c>
      <c r="N20" s="4">
        <v>1409.83742959549</v>
      </c>
      <c r="O20">
        <v>0</v>
      </c>
      <c r="P20">
        <v>0.85637371278832397</v>
      </c>
    </row>
    <row r="21" spans="1:16" x14ac:dyDescent="0.35">
      <c r="A21" s="15" t="s">
        <v>84</v>
      </c>
      <c r="B21" s="16" t="s">
        <v>100</v>
      </c>
      <c r="C21" s="17">
        <f t="shared" si="2"/>
        <v>160240.68755374721</v>
      </c>
      <c r="D21" s="16">
        <v>14000</v>
      </c>
      <c r="E21">
        <v>10</v>
      </c>
      <c r="F21" s="4">
        <v>372960.01384574</v>
      </c>
      <c r="G21" s="4">
        <v>280382.83265103301</v>
      </c>
      <c r="H21" s="4">
        <v>27320.699397881199</v>
      </c>
      <c r="I21" s="4">
        <v>18577.186526806599</v>
      </c>
      <c r="J21" s="4">
        <v>67200.002496512097</v>
      </c>
      <c r="K21" s="4">
        <v>20227.200755707701</v>
      </c>
      <c r="L21" s="4">
        <v>25505.7609472441</v>
      </c>
      <c r="M21" s="4">
        <v>45897.885924687798</v>
      </c>
      <c r="N21" s="4">
        <v>1409.83742959549</v>
      </c>
      <c r="O21">
        <v>0</v>
      </c>
      <c r="P21">
        <v>0.75177719391388198</v>
      </c>
    </row>
    <row r="22" spans="1:16" x14ac:dyDescent="0.35">
      <c r="A22" s="15" t="s">
        <v>84</v>
      </c>
      <c r="B22" s="16" t="s">
        <v>100</v>
      </c>
      <c r="C22" s="17">
        <f t="shared" ref="C22" si="3">N22+M22+L22+K22+J22</f>
        <v>161854.2162878394</v>
      </c>
      <c r="D22" s="16">
        <v>16000</v>
      </c>
      <c r="E22">
        <v>10</v>
      </c>
      <c r="F22" s="4">
        <v>376239.56166412297</v>
      </c>
      <c r="G22" s="4">
        <v>281996.36138512503</v>
      </c>
      <c r="H22" s="4">
        <v>27690.037368097801</v>
      </c>
      <c r="I22" s="4">
        <v>18828.324302187499</v>
      </c>
      <c r="J22" s="4">
        <v>67790.912013336099</v>
      </c>
      <c r="K22" s="4">
        <v>20405.064520267199</v>
      </c>
      <c r="L22" s="4">
        <v>25730.040654355202</v>
      </c>
      <c r="M22" s="4">
        <v>46518.361670285398</v>
      </c>
      <c r="N22" s="4">
        <v>1409.83742959549</v>
      </c>
      <c r="O22">
        <v>0</v>
      </c>
      <c r="P22">
        <v>0.74951278418953005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wrd_pricetater_flex_type_summar</vt:lpstr>
      <vt:lpstr>Understanding DR Result</vt:lpstr>
      <vt:lpstr>SA - Start-Up Cost</vt:lpstr>
      <vt:lpstr>SA - Water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2026-09-01T15:13:19Z</dcterms:modified>
</cp:coreProperties>
</file>