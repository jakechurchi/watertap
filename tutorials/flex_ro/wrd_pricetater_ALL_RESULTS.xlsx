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D6A7FB53-8F56-4F84-870E-0A51C6DF722D}" xr6:coauthVersionLast="47" xr6:coauthVersionMax="47" xr10:uidLastSave="{00000000-0000-0000-0000-000000000000}"/>
  <bookViews>
    <workbookView xWindow="57480" yWindow="8430" windowWidth="29040" windowHeight="15720" activeTab="2" xr2:uid="{C549BF93-41CE-4809-A3B1-A16DB1FF836F}"/>
  </bookViews>
  <sheets>
    <sheet name="wrd_pricetater_flex_type_summar" sheetId="1" r:id="rId1"/>
    <sheet name="Understanding DR Result" sheetId="2" r:id="rId2"/>
    <sheet name="Sensitivity Analys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S10" i="3" s="1"/>
  <c r="G4" i="3"/>
  <c r="S7" i="3"/>
  <c r="G7" i="3"/>
  <c r="G6" i="3"/>
  <c r="S6" i="3" s="1"/>
  <c r="G5" i="3"/>
  <c r="S5" i="3" s="1"/>
  <c r="G3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09" i="1" l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tc={E817B344-0186-401A-AC52-C5615721C22C}</author>
    <author>tc={338E2122-408B-451A-85D7-EF9A92A8E19E}</author>
    <author>tc={82E3A100-DFFE-4CB2-B9B2-E28BF20128AB}</author>
    <author>tc={30E6622D-E007-41AB-B0B0-A6FA07445B38}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Q2" authorId="1" shapeId="0" xr:uid="{E817B344-0186-401A-AC52-C5615721C22C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V2" authorId="2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3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</t>
      </text>
    </comment>
    <comment ref="D8" authorId="4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</commentList>
</comments>
</file>

<file path=xl/sharedStrings.xml><?xml version="1.0" encoding="utf-8"?>
<sst xmlns="http://schemas.openxmlformats.org/spreadsheetml/2006/main" count="293" uniqueCount="73">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</sst>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Q2" dT="2026-07-15T21:03:49.32" personId="{114E4FE4-B7B1-4FA3-A72A-3A97E9B9C3CF}" id="{E817B344-0186-401A-AC52-C5615721C22C}">
    <text>By default, these numbers are incorrect. Only the green numbers are correct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D8" dT="2026-08-31T16:54:44.56" personId="{114E4FE4-B7B1-4FA3-A72A-3A97E9B9C3CF}" id="{30E6622D-E007-41AB-B0B0-A6FA07445B38}">
    <text>Total Cost will change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A40" zoomScale="110" zoomScaleNormal="110" workbookViewId="0">
      <selection activeCell="E66" sqref="E66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0"/>
    </row>
    <row r="67" spans="1:22" x14ac:dyDescent="0.4">
      <c r="A67" s="14" t="s">
        <v>60</v>
      </c>
      <c r="B67" s="14"/>
      <c r="C67" s="14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A8" sqref="A8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2:Y17"/>
  <sheetViews>
    <sheetView tabSelected="1" workbookViewId="0">
      <selection activeCell="C16" sqref="C16"/>
    </sheetView>
  </sheetViews>
  <sheetFormatPr defaultRowHeight="14.6" x14ac:dyDescent="0.4"/>
  <cols>
    <col min="1" max="1" width="27.61328125" customWidth="1"/>
    <col min="2" max="2" width="15.921875" customWidth="1"/>
    <col min="3" max="3" width="13.15234375" customWidth="1"/>
    <col min="4" max="4" width="12.07421875" customWidth="1"/>
  </cols>
  <sheetData>
    <row r="2" spans="1:25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</row>
    <row r="3" spans="1:25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>M3+N3+O3+P3+Q3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</row>
    <row r="4" spans="1:25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>M4+N4+O4+P4+Q4</f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</row>
    <row r="5" spans="1:25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>M5+N5+O5+P5+Q5</f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5">
        <v>1436</v>
      </c>
      <c r="R5">
        <v>0</v>
      </c>
      <c r="S5">
        <f t="shared" ref="S5:S8" si="0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</row>
    <row r="6" spans="1:25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>M6+N6+O6+P6+Q6</f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5">
        <v>1436</v>
      </c>
      <c r="R6">
        <v>0</v>
      </c>
      <c r="S6">
        <f t="shared" si="0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</row>
    <row r="7" spans="1:25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>M7+N7+O7+P7+Q7</f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5">
        <v>1436</v>
      </c>
      <c r="R7">
        <v>0</v>
      </c>
      <c r="S7">
        <f t="shared" si="0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</row>
    <row r="8" spans="1:25" x14ac:dyDescent="0.4">
      <c r="A8">
        <v>0</v>
      </c>
      <c r="B8" t="s">
        <v>71</v>
      </c>
      <c r="C8">
        <v>5</v>
      </c>
      <c r="D8" s="5" t="s">
        <v>22</v>
      </c>
      <c r="E8" s="5" t="s">
        <v>21</v>
      </c>
      <c r="F8">
        <v>4</v>
      </c>
    </row>
    <row r="9" spans="1:25" x14ac:dyDescent="0.4">
      <c r="A9">
        <v>0.215</v>
      </c>
      <c r="B9" t="s">
        <v>71</v>
      </c>
      <c r="C9">
        <v>5</v>
      </c>
      <c r="D9" s="5" t="s">
        <v>22</v>
      </c>
      <c r="E9" s="5" t="s">
        <v>21</v>
      </c>
      <c r="F9">
        <v>4</v>
      </c>
    </row>
    <row r="10" spans="1:25" x14ac:dyDescent="0.4">
      <c r="A10">
        <v>0.43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>M10+N10+O10+P10+Q10</f>
        <v>118575.29824632255</v>
      </c>
      <c r="H10">
        <v>282179.67123287602</v>
      </c>
      <c r="I10">
        <v>0.80673743017586796</v>
      </c>
      <c r="J10">
        <v>19617.269555424798</v>
      </c>
      <c r="K10">
        <v>6177.79087142139</v>
      </c>
      <c r="L10" s="8">
        <v>1.4897343661976701E-5</v>
      </c>
      <c r="M10">
        <v>25795.060441743601</v>
      </c>
      <c r="N10">
        <v>50989.945229661498</v>
      </c>
      <c r="O10">
        <v>20356.552509954701</v>
      </c>
      <c r="P10">
        <v>19971.3621100407</v>
      </c>
      <c r="Q10">
        <v>1462.3779549220301</v>
      </c>
      <c r="R10">
        <v>11020</v>
      </c>
      <c r="S10">
        <f>G10+$P$1</f>
        <v>118575.29824632255</v>
      </c>
      <c r="T10">
        <v>1380.27146414547</v>
      </c>
      <c r="U10">
        <v>33980.634383525299</v>
      </c>
      <c r="V10">
        <v>943.906510653483</v>
      </c>
      <c r="W10">
        <v>0.36911323114551098</v>
      </c>
      <c r="X10">
        <v>36719.7300995962</v>
      </c>
      <c r="Y10">
        <v>278.17977348178903</v>
      </c>
    </row>
    <row r="11" spans="1:25" x14ac:dyDescent="0.4">
      <c r="A11">
        <v>0.86</v>
      </c>
      <c r="B11" t="s">
        <v>71</v>
      </c>
      <c r="C11" t="s">
        <v>64</v>
      </c>
    </row>
    <row r="12" spans="1:25" x14ac:dyDescent="0.4">
      <c r="A12">
        <v>1.29</v>
      </c>
      <c r="B12" t="s">
        <v>71</v>
      </c>
      <c r="C12" t="s">
        <v>64</v>
      </c>
    </row>
    <row r="13" spans="1:25" x14ac:dyDescent="0.4">
      <c r="A13">
        <v>0</v>
      </c>
      <c r="B13" t="s">
        <v>72</v>
      </c>
      <c r="D13" s="5"/>
      <c r="E13" s="5"/>
    </row>
    <row r="14" spans="1:25" x14ac:dyDescent="0.4">
      <c r="A14">
        <v>0.215</v>
      </c>
      <c r="B14" t="s">
        <v>72</v>
      </c>
      <c r="D14" s="5"/>
      <c r="E14" s="5"/>
    </row>
    <row r="15" spans="1:25" x14ac:dyDescent="0.4">
      <c r="A15">
        <v>0.43</v>
      </c>
      <c r="B15" t="s">
        <v>72</v>
      </c>
      <c r="D15" s="5"/>
      <c r="E15" s="5"/>
    </row>
    <row r="16" spans="1:25" x14ac:dyDescent="0.4">
      <c r="A16">
        <v>0.86</v>
      </c>
      <c r="B16" t="s">
        <v>72</v>
      </c>
    </row>
    <row r="17" spans="1:2" x14ac:dyDescent="0.4">
      <c r="A17">
        <v>1.29</v>
      </c>
      <c r="B17" t="s">
        <v>72</v>
      </c>
    </row>
  </sheetData>
  <phoneticPr fontId="22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wrd_pricetater_flex_type_summar</vt:lpstr>
      <vt:lpstr>Understanding DR Result</vt:lpstr>
      <vt:lpstr>Sensitivity Analyses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2026-08-31T16:58:28Z</dcterms:modified>
</cp:coreProperties>
</file>