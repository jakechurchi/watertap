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8A374B3F-32CF-40D3-B745-2118EAAFF94F}" xr6:coauthVersionLast="47" xr6:coauthVersionMax="47" xr10:uidLastSave="{00000000-0000-0000-0000-000000000000}"/>
  <bookViews>
    <workbookView xWindow="-103" yWindow="-103" windowWidth="33120" windowHeight="1800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4" i="1" l="1"/>
  <c r="K26" i="1"/>
  <c r="K20" i="1"/>
  <c r="P32" i="1"/>
  <c r="D32" i="1"/>
  <c r="V33" i="1"/>
  <c r="U33" i="1"/>
  <c r="T33" i="1"/>
  <c r="S33" i="1"/>
  <c r="R33" i="1"/>
  <c r="Q33" i="1"/>
  <c r="O33" i="1"/>
  <c r="N33" i="1"/>
  <c r="M33" i="1"/>
  <c r="L33" i="1"/>
  <c r="K33" i="1"/>
  <c r="J33" i="1"/>
  <c r="I33" i="1"/>
  <c r="H33" i="1"/>
  <c r="G33" i="1"/>
  <c r="F33" i="1"/>
  <c r="E33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V71" i="1"/>
  <c r="U71" i="1"/>
  <c r="T71" i="1"/>
  <c r="S71" i="1"/>
  <c r="R71" i="1"/>
  <c r="Q71" i="1"/>
  <c r="O71" i="1"/>
  <c r="N71" i="1"/>
  <c r="M71" i="1"/>
  <c r="L71" i="1"/>
  <c r="K71" i="1"/>
  <c r="J71" i="1"/>
  <c r="I71" i="1"/>
  <c r="H71" i="1"/>
  <c r="G71" i="1"/>
  <c r="F71" i="1"/>
  <c r="E71" i="1"/>
  <c r="N81" i="1"/>
  <c r="M81" i="1"/>
  <c r="L81" i="1"/>
  <c r="K81" i="1"/>
  <c r="J81" i="1"/>
  <c r="I81" i="1"/>
  <c r="H81" i="1"/>
  <c r="G81" i="1"/>
  <c r="F81" i="1"/>
  <c r="E81" i="1"/>
  <c r="D67" i="1"/>
  <c r="P67" i="1" s="1"/>
  <c r="P71" i="1" s="1"/>
  <c r="O61" i="1"/>
  <c r="D61" i="1" s="1"/>
  <c r="P61" i="1" s="1"/>
  <c r="D80" i="1"/>
  <c r="P80" i="1" s="1"/>
  <c r="D47" i="1"/>
  <c r="P47" i="1" s="1"/>
  <c r="D98" i="1"/>
  <c r="P98" i="1" s="1"/>
  <c r="D97" i="1"/>
  <c r="P97" i="1" s="1"/>
  <c r="D96" i="1"/>
  <c r="P96" i="1" s="1"/>
  <c r="D95" i="1"/>
  <c r="P95" i="1" s="1"/>
  <c r="D94" i="1"/>
  <c r="P94" i="1" s="1"/>
  <c r="D93" i="1"/>
  <c r="P93" i="1" s="1"/>
  <c r="D92" i="1"/>
  <c r="P92" i="1" s="1"/>
  <c r="D83" i="1"/>
  <c r="P83" i="1" s="1"/>
  <c r="D79" i="1"/>
  <c r="P79" i="1" s="1"/>
  <c r="D77" i="1"/>
  <c r="P77" i="1" s="1"/>
  <c r="D76" i="1"/>
  <c r="P76" i="1" s="1"/>
  <c r="D74" i="1"/>
  <c r="P74" i="1" s="1"/>
  <c r="D73" i="1"/>
  <c r="P73" i="1" s="1"/>
  <c r="D60" i="1"/>
  <c r="P60" i="1" s="1"/>
  <c r="D57" i="1"/>
  <c r="P57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P33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33" i="1" l="1"/>
  <c r="D81" i="1"/>
  <c r="P81" i="1" s="1"/>
  <c r="D7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tc={7C262D24-4F73-4A8D-BEED-4FCDB02EBE54}</author>
    <author>tc={B12FED98-6BE9-4BE2-A887-4CF314FA442B}</author>
    <author>tc={7E28AC63-C308-4B0A-97A5-B41EEB6DBCFB}</author>
    <author>tc={B7EDEAAD-67C9-4693-A0FC-570282E02182}</author>
    <author>tc={0EBBD83F-AB64-4248-87E6-B99F88EE5F88}</author>
    <author>tc={FD7ED5AD-FD5F-4506-A4A6-ADC8FF8FAC50}</author>
    <author>tc={4644E393-F522-4E79-88BA-041770B595A7}</author>
    <author>tc={9FF6B967-6104-43AC-8EED-15C48C9ACCA9}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57" authorId="13" shapeId="0" xr:uid="{7C262D24-4F73-4A8D-BEED-4FCDB02EBE54}">
      <text>
        <t>[Threaded comment]
Your version of Excel allows you to read this threaded comment; however, any edits to it will get removed if the file is opened in a newer version of Excel. Learn more: https://go.microsoft.com/fwlink/?linkid=870924
Comment:
    Result from the fast solve</t>
      </text>
    </comment>
    <comment ref="A60" authorId="14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5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6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A63" authorId="17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70" authorId="18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Why is this so different from the other DR solution? I would assume they would be the same…
</t>
      </text>
    </comment>
    <comment ref="A77" authorId="19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3" authorId="20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T95" authorId="21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sharedStrings.xml><?xml version="1.0" encoding="utf-8"?>
<sst xmlns="http://schemas.openxmlformats.org/spreadsheetml/2006/main" count="166" uniqueCount="44">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</sst>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57" dT="2026-06-02T17:16:43.70" personId="{114E4FE4-B7B1-4FA3-A72A-3A97E9B9C3CF}" id="{7C262D24-4F73-4A8D-BEED-4FCDB02EBE54}">
    <text>Result from the fast solve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2" dT="2026-07-22T19:37:51.21" personId="{114E4FE4-B7B1-4FA3-A72A-3A97E9B9C3CF}" id="{DB15DF8F-6887-4CDD-9A38-5D318EAEEFFF}" parentId="{B7EDEAAD-67C9-4693-A0FC-570282E02182}">
    <text>I’d like to see numbers for only one shutdown</text>
  </threadedComment>
  <threadedComment ref="A63" dT="2026-07-22T21:09:49.14" personId="{114E4FE4-B7B1-4FA3-A72A-3A97E9B9C3CF}" id="{0EBBD83F-AB64-4248-87E6-B99F88EE5F88}">
    <text>Only one plant shutdown allowed</text>
  </threadedComment>
  <threadedComment ref="A70" dT="2026-07-22T16:56:30.58" personId="{114E4FE4-B7B1-4FA3-A72A-3A97E9B9C3CF}" id="{FD7ED5AD-FD5F-4506-A4A6-ADC8FF8FAC50}">
    <text xml:space="preserve">Why is this so different from the other DR solution? I would assume they would be the same…
</text>
  </threadedComment>
  <threadedComment ref="A77" dT="2026-07-21T19:23:55.41" personId="{114E4FE4-B7B1-4FA3-A72A-3A97E9B9C3CF}" id="{4644E393-F522-4E79-88BA-041770B595A7}">
    <text>Pretty sure this solution is wrong, but I don’t think I need this case for the paper</text>
  </threadedComment>
  <threadedComment ref="A83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T95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98"/>
  <sheetViews>
    <sheetView tabSelected="1" zoomScale="110" zoomScaleNormal="110" workbookViewId="0">
      <selection activeCell="X7" sqref="X7"/>
    </sheetView>
  </sheetViews>
  <sheetFormatPr defaultRowHeight="14.6" x14ac:dyDescent="0.4"/>
  <cols>
    <col min="1" max="1" width="9.61328125" customWidth="1"/>
    <col min="3" max="3" width="11.4609375" customWidth="1"/>
    <col min="5" max="5" width="10.23046875" customWidth="1"/>
    <col min="6" max="6" width="11.84375" bestFit="1" customWidth="1"/>
    <col min="7" max="7" width="10.69140625" customWidth="1"/>
    <col min="9" max="9" width="9.07421875" customWidth="1"/>
    <col min="15" max="15" width="9.53515625" customWidth="1"/>
    <col min="16" max="16" width="9.84375" bestFit="1" customWidth="1"/>
    <col min="20" max="20" width="7.84375" customWidth="1"/>
  </cols>
  <sheetData>
    <row r="1" spans="1:22" x14ac:dyDescent="0.4">
      <c r="A1" s="1" t="s">
        <v>28</v>
      </c>
      <c r="O1" t="s">
        <v>43</v>
      </c>
      <c r="P1">
        <v>120559.67181899652</v>
      </c>
    </row>
    <row r="2" spans="1:22" x14ac:dyDescent="0.4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4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4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4">
      <c r="G5" s="4"/>
    </row>
    <row r="6" spans="1:22" x14ac:dyDescent="0.4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4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4">
      <c r="G8" s="4"/>
    </row>
    <row r="9" spans="1:22" x14ac:dyDescent="0.4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4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4">
      <c r="G11" s="4"/>
    </row>
    <row r="12" spans="1:22" x14ac:dyDescent="0.4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4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4">
      <c r="G14" s="4"/>
    </row>
    <row r="15" spans="1:22" hidden="1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4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4">
      <c r="G17" s="4"/>
    </row>
    <row r="18" spans="1:22" x14ac:dyDescent="0.4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4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4">
      <c r="A20" s="5"/>
      <c r="B20" s="5"/>
      <c r="K20">
        <f>K19+L19+M19</f>
        <v>85444.512881154995</v>
      </c>
      <c r="S20" s="2"/>
    </row>
    <row r="21" spans="1:22" x14ac:dyDescent="0.4">
      <c r="A21" t="s">
        <v>20</v>
      </c>
      <c r="B21" t="s">
        <v>25</v>
      </c>
      <c r="C21">
        <v>2</v>
      </c>
    </row>
    <row r="22" spans="1:22" x14ac:dyDescent="0.4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4">
      <c r="G23" s="4"/>
    </row>
    <row r="24" spans="1:22" x14ac:dyDescent="0.4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4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4">
      <c r="A26" s="6"/>
      <c r="B26" s="6"/>
      <c r="K26">
        <f>K25+L25+M25</f>
        <v>86355.755432219594</v>
      </c>
    </row>
    <row r="27" spans="1:22" x14ac:dyDescent="0.4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4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4">
      <c r="G29" s="4"/>
    </row>
    <row r="30" spans="1:22" x14ac:dyDescent="0.4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4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4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4">
      <c r="A33" s="2"/>
      <c r="B33" s="2"/>
      <c r="D33">
        <f t="shared" ref="D33:V33" si="6">D32-D31</f>
        <v>785.66289527932531</v>
      </c>
      <c r="E33">
        <f t="shared" si="6"/>
        <v>2.4971086531877518E-8</v>
      </c>
      <c r="F33">
        <f t="shared" si="6"/>
        <v>2.6907854028540568E-3</v>
      </c>
      <c r="G33">
        <f t="shared" si="6"/>
        <v>-221.42920834019969</v>
      </c>
      <c r="H33">
        <f t="shared" si="6"/>
        <v>896.09976246881979</v>
      </c>
      <c r="I33">
        <f t="shared" si="6"/>
        <v>-4877.4899349639245</v>
      </c>
      <c r="J33">
        <f t="shared" si="6"/>
        <v>-4202.8193808354008</v>
      </c>
      <c r="K33">
        <f t="shared" si="6"/>
        <v>-87.19067491790338</v>
      </c>
      <c r="L33">
        <f t="shared" si="6"/>
        <v>4424.0083944886992</v>
      </c>
      <c r="M33">
        <f t="shared" si="6"/>
        <v>625.28660162189772</v>
      </c>
      <c r="N33">
        <f t="shared" si="6"/>
        <v>26.377954922030085</v>
      </c>
      <c r="O33">
        <f t="shared" si="6"/>
        <v>0</v>
      </c>
      <c r="P33">
        <f t="shared" si="6"/>
        <v>785.66289527932531</v>
      </c>
      <c r="Q33">
        <f t="shared" si="6"/>
        <v>200.21086642008004</v>
      </c>
      <c r="R33">
        <f t="shared" si="6"/>
        <v>20835.930555410298</v>
      </c>
      <c r="S33">
        <f t="shared" si="6"/>
        <v>397.33849572936299</v>
      </c>
      <c r="T33">
        <f t="shared" si="6"/>
        <v>-0.1359304574304484</v>
      </c>
      <c r="U33">
        <f t="shared" si="6"/>
        <v>25293.846976061999</v>
      </c>
      <c r="V33">
        <f t="shared" si="6"/>
        <v>200.18128127969257</v>
      </c>
    </row>
    <row r="34" spans="1:22" x14ac:dyDescent="0.4">
      <c r="A34" s="2"/>
      <c r="B34" s="2"/>
      <c r="K34">
        <f>K31+L31+M31</f>
        <v>86355.755432219594</v>
      </c>
    </row>
    <row r="35" spans="1:22" x14ac:dyDescent="0.4">
      <c r="A35" s="7" t="s">
        <v>38</v>
      </c>
      <c r="B35" s="2"/>
      <c r="S35" s="2"/>
    </row>
    <row r="36" spans="1:22" x14ac:dyDescent="0.4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7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4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7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4">
      <c r="A38" s="7"/>
      <c r="B38" s="2"/>
      <c r="S38" s="2"/>
    </row>
    <row r="39" spans="1:22" x14ac:dyDescent="0.4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8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4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8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4">
      <c r="A41" s="3"/>
    </row>
    <row r="42" spans="1:22" x14ac:dyDescent="0.4">
      <c r="A42" s="7" t="s">
        <v>41</v>
      </c>
    </row>
    <row r="43" spans="1:22" x14ac:dyDescent="0.4">
      <c r="A43" s="3" t="s">
        <v>20</v>
      </c>
    </row>
    <row r="44" spans="1:22" x14ac:dyDescent="0.4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9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4">
      <c r="A45" s="3"/>
    </row>
    <row r="46" spans="1:22" x14ac:dyDescent="0.4">
      <c r="A46" s="3" t="s">
        <v>20</v>
      </c>
    </row>
    <row r="47" spans="1:22" x14ac:dyDescent="0.4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4">
      <c r="A49" s="1" t="s">
        <v>27</v>
      </c>
      <c r="G49" s="4"/>
    </row>
    <row r="50" spans="1:22" x14ac:dyDescent="0.4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7" si="10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4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0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4">
      <c r="A52" s="3"/>
      <c r="G52" s="4"/>
    </row>
    <row r="53" spans="1:22" x14ac:dyDescent="0.4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0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4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0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4">
      <c r="G55" s="4"/>
    </row>
    <row r="56" spans="1:22" x14ac:dyDescent="0.4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0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4">
      <c r="A57" t="s">
        <v>22</v>
      </c>
      <c r="B57" t="s">
        <v>21</v>
      </c>
      <c r="C57">
        <v>4</v>
      </c>
      <c r="D57">
        <f>J57+K57+L57+M57+N57</f>
        <v>125434.46212050831</v>
      </c>
      <c r="E57">
        <v>282179.67123444699</v>
      </c>
      <c r="F57">
        <v>0.87159189967643702</v>
      </c>
      <c r="G57" s="4">
        <v>21072.189860718699</v>
      </c>
      <c r="H57">
        <v>9188.7245080883695</v>
      </c>
      <c r="I57">
        <v>2618.8827210474601</v>
      </c>
      <c r="J57">
        <v>32879.797089854597</v>
      </c>
      <c r="K57">
        <v>50904.118537438801</v>
      </c>
      <c r="L57">
        <v>20591.7266090095</v>
      </c>
      <c r="M57">
        <v>20017.890938119701</v>
      </c>
      <c r="N57">
        <v>1040.9289460857101</v>
      </c>
      <c r="O57">
        <v>0</v>
      </c>
      <c r="P57">
        <f t="shared" si="10"/>
        <v>245994.13393950483</v>
      </c>
      <c r="Q57">
        <v>1458.3752411216699</v>
      </c>
      <c r="R57">
        <v>35012.612233571497</v>
      </c>
      <c r="S57">
        <v>875.31530583928895</v>
      </c>
      <c r="T57">
        <v>0.51444695802960605</v>
      </c>
    </row>
    <row r="59" spans="1:22" x14ac:dyDescent="0.4">
      <c r="A59" s="1" t="s">
        <v>30</v>
      </c>
      <c r="G59" s="4"/>
    </row>
    <row r="60" spans="1:22" x14ac:dyDescent="0.4">
      <c r="A60" s="2" t="s">
        <v>22</v>
      </c>
      <c r="B60" s="2" t="s">
        <v>25</v>
      </c>
      <c r="C60">
        <v>2</v>
      </c>
      <c r="D60">
        <f>J60+K60+L60+M60+N60</f>
        <v>119635.09208261623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" si="11">D60+$P$1</f>
        <v>240194.76390161275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4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>D61+$P$1</f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4">
      <c r="A62" s="3" t="s">
        <v>22</v>
      </c>
      <c r="B62" s="3" t="s">
        <v>21</v>
      </c>
      <c r="C62">
        <v>4</v>
      </c>
      <c r="D62">
        <v>106092.92029140001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v>227644.90281828199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4">
      <c r="A63" t="s">
        <v>22</v>
      </c>
      <c r="B63" t="s">
        <v>21</v>
      </c>
      <c r="C63">
        <v>4</v>
      </c>
      <c r="D63">
        <v>106606.33139463799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v>228158.313921519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4">
      <c r="A64" s="3"/>
      <c r="B64" s="3"/>
      <c r="D64">
        <f>D63-D62</f>
        <v>513.41110323798785</v>
      </c>
      <c r="E64">
        <f t="shared" ref="E64:V64" si="12">E63-E62</f>
        <v>-1.0599615052342415E-7</v>
      </c>
      <c r="F64">
        <f t="shared" si="12"/>
        <v>1.8194475210779881E-3</v>
      </c>
      <c r="G64">
        <f t="shared" si="12"/>
        <v>-214.21539764659974</v>
      </c>
      <c r="H64">
        <f t="shared" si="12"/>
        <v>-624.4983606493397</v>
      </c>
      <c r="I64">
        <f t="shared" si="12"/>
        <v>4877.8861089948059</v>
      </c>
      <c r="J64">
        <f t="shared" si="12"/>
        <v>4039.1723506987983</v>
      </c>
      <c r="K64">
        <f t="shared" si="12"/>
        <v>183.72486634590314</v>
      </c>
      <c r="L64">
        <f t="shared" si="12"/>
        <v>-3232.9060902373021</v>
      </c>
      <c r="M64">
        <f t="shared" si="12"/>
        <v>-476.58002357000078</v>
      </c>
      <c r="N64">
        <f t="shared" si="12"/>
        <v>-26.750816248570118</v>
      </c>
      <c r="O64">
        <f t="shared" si="12"/>
        <v>0</v>
      </c>
      <c r="P64">
        <f t="shared" si="12"/>
        <v>513.41110323701287</v>
      </c>
      <c r="Q64">
        <f t="shared" si="12"/>
        <v>-139.52840101139986</v>
      </c>
      <c r="R64">
        <f t="shared" si="12"/>
        <v>-16066.151948654198</v>
      </c>
      <c r="S64">
        <f t="shared" si="12"/>
        <v>-545.80690098968103</v>
      </c>
      <c r="T64">
        <f t="shared" si="12"/>
        <v>0.30386414961436203</v>
      </c>
      <c r="U64">
        <f t="shared" si="12"/>
        <v>-23556.497919273097</v>
      </c>
      <c r="V64">
        <f t="shared" si="12"/>
        <v>-171.16162567428404</v>
      </c>
    </row>
    <row r="65" spans="1:22" x14ac:dyDescent="0.4">
      <c r="A65" s="1" t="s">
        <v>42</v>
      </c>
      <c r="G65" s="4"/>
    </row>
    <row r="66" spans="1:22" x14ac:dyDescent="0.4">
      <c r="A66" s="3" t="s">
        <v>20</v>
      </c>
      <c r="B66" s="3" t="s">
        <v>23</v>
      </c>
      <c r="C66" s="3">
        <v>0</v>
      </c>
      <c r="G66" s="4"/>
    </row>
    <row r="67" spans="1:22" x14ac:dyDescent="0.4">
      <c r="A67" t="s">
        <v>22</v>
      </c>
      <c r="B67" t="s">
        <v>23</v>
      </c>
      <c r="C67">
        <v>0</v>
      </c>
      <c r="D67">
        <f>J67+K67+L67+M67+N67-O67</f>
        <v>125093.23428318274</v>
      </c>
      <c r="E67">
        <v>282190.859999999</v>
      </c>
      <c r="F67">
        <v>0.86904083066499505</v>
      </c>
      <c r="G67">
        <v>24203.497764766002</v>
      </c>
      <c r="H67">
        <v>4932.7238161263904</v>
      </c>
      <c r="I67">
        <v>9098.5748223234004</v>
      </c>
      <c r="J67">
        <v>38234.796403215798</v>
      </c>
      <c r="K67">
        <v>50845.200000000099</v>
      </c>
      <c r="L67">
        <v>15304.405199999899</v>
      </c>
      <c r="M67">
        <v>19298.29566</v>
      </c>
      <c r="N67">
        <v>1409.83742959549</v>
      </c>
      <c r="O67">
        <v>-0.69959037146548997</v>
      </c>
      <c r="P67">
        <f>D67+$P$1</f>
        <v>245652.90610217926</v>
      </c>
      <c r="Q67">
        <v>1102.0926609763501</v>
      </c>
      <c r="R67">
        <v>0</v>
      </c>
      <c r="U67">
        <v>15.5670440273115</v>
      </c>
      <c r="V67">
        <v>9.2660976353045002E-2</v>
      </c>
    </row>
    <row r="68" spans="1:22" x14ac:dyDescent="0.4">
      <c r="A68" s="3"/>
      <c r="B68" s="3"/>
      <c r="C68" s="3"/>
      <c r="G68" s="4"/>
    </row>
    <row r="69" spans="1:22" x14ac:dyDescent="0.4">
      <c r="A69" s="3" t="s">
        <v>20</v>
      </c>
      <c r="B69" s="3" t="s">
        <v>21</v>
      </c>
      <c r="C69" s="3">
        <v>4</v>
      </c>
      <c r="G69" s="4"/>
    </row>
    <row r="70" spans="1:22" x14ac:dyDescent="0.4">
      <c r="A70" t="s">
        <v>22</v>
      </c>
      <c r="B70" t="s">
        <v>21</v>
      </c>
      <c r="C70">
        <v>4</v>
      </c>
      <c r="D70">
        <v>108832.74020782999</v>
      </c>
      <c r="E70">
        <v>282179.67123306898</v>
      </c>
      <c r="F70">
        <v>0.81644691741250097</v>
      </c>
      <c r="G70">
        <v>19728.523245555101</v>
      </c>
      <c r="H70">
        <v>6281.7321988746498</v>
      </c>
      <c r="I70" s="8">
        <v>9.8877442286147301E-6</v>
      </c>
      <c r="J70">
        <v>26010.255454317499</v>
      </c>
      <c r="K70">
        <v>50944.9452054754</v>
      </c>
      <c r="L70">
        <v>20235.614943009699</v>
      </c>
      <c r="M70">
        <v>19962.024605027898</v>
      </c>
      <c r="N70">
        <v>1462.3779549220301</v>
      </c>
      <c r="O70">
        <v>8320.1</v>
      </c>
      <c r="P70">
        <v>230384.72273471201</v>
      </c>
      <c r="Q70">
        <v>1403.49453592792</v>
      </c>
      <c r="R70">
        <v>34518.506961381201</v>
      </c>
      <c r="S70">
        <v>841.91480393612801</v>
      </c>
      <c r="T70">
        <v>0.38784649209264499</v>
      </c>
      <c r="U70">
        <v>38264.627438579002</v>
      </c>
      <c r="V70">
        <v>301.29627904392902</v>
      </c>
    </row>
    <row r="71" spans="1:22" x14ac:dyDescent="0.4">
      <c r="A71" s="5"/>
      <c r="B71" s="5"/>
      <c r="D71">
        <f>D70-D67</f>
        <v>-16260.494075352748</v>
      </c>
      <c r="E71">
        <f t="shared" ref="E71:V71" si="13">E70-E67</f>
        <v>-11.188766930019483</v>
      </c>
      <c r="F71">
        <f t="shared" si="13"/>
        <v>-5.2593913252494073E-2</v>
      </c>
      <c r="G71">
        <f t="shared" si="13"/>
        <v>-4474.9745192109003</v>
      </c>
      <c r="H71">
        <f t="shared" si="13"/>
        <v>1349.0083827482595</v>
      </c>
      <c r="I71">
        <f t="shared" si="13"/>
        <v>-9098.574812435656</v>
      </c>
      <c r="J71">
        <f t="shared" si="13"/>
        <v>-12224.540948898299</v>
      </c>
      <c r="K71">
        <f t="shared" si="13"/>
        <v>99.745205475301191</v>
      </c>
      <c r="L71">
        <f t="shared" si="13"/>
        <v>4931.2097430098001</v>
      </c>
      <c r="M71">
        <f t="shared" si="13"/>
        <v>663.72894502789859</v>
      </c>
      <c r="N71">
        <f t="shared" si="13"/>
        <v>52.540525326540092</v>
      </c>
      <c r="O71">
        <f t="shared" si="13"/>
        <v>8320.7995903714655</v>
      </c>
      <c r="P71">
        <f t="shared" si="13"/>
        <v>-15268.183367467253</v>
      </c>
      <c r="Q71">
        <f t="shared" si="13"/>
        <v>301.40187495156988</v>
      </c>
      <c r="R71">
        <f t="shared" si="13"/>
        <v>34518.506961381201</v>
      </c>
      <c r="S71">
        <f t="shared" si="13"/>
        <v>841.91480393612801</v>
      </c>
      <c r="T71">
        <f t="shared" si="13"/>
        <v>0.38784649209264499</v>
      </c>
      <c r="U71">
        <f t="shared" si="13"/>
        <v>38249.060394551692</v>
      </c>
      <c r="V71">
        <f t="shared" si="13"/>
        <v>301.20361806757597</v>
      </c>
    </row>
    <row r="72" spans="1:22" x14ac:dyDescent="0.4">
      <c r="A72" s="1" t="s">
        <v>31</v>
      </c>
    </row>
    <row r="73" spans="1:22" x14ac:dyDescent="0.4">
      <c r="A73" s="3" t="s">
        <v>20</v>
      </c>
      <c r="B73" s="3" t="s">
        <v>23</v>
      </c>
      <c r="C73">
        <v>0</v>
      </c>
      <c r="D73">
        <f>J73+K73+L73+M73+N73</f>
        <v>116023.2890300647</v>
      </c>
      <c r="E73">
        <v>282179.67123287602</v>
      </c>
      <c r="F73">
        <v>0.83841249022441</v>
      </c>
      <c r="G73">
        <v>20114.092712805999</v>
      </c>
      <c r="H73">
        <v>6942.2846600808298</v>
      </c>
      <c r="I73">
        <v>2530.0880681377598</v>
      </c>
      <c r="J73">
        <v>29586.4654410246</v>
      </c>
      <c r="K73">
        <v>50843.184005923598</v>
      </c>
      <c r="L73">
        <v>15303.798385783</v>
      </c>
      <c r="M73">
        <v>19297.5304894482</v>
      </c>
      <c r="N73">
        <v>992.31070788530405</v>
      </c>
      <c r="O73">
        <v>0</v>
      </c>
      <c r="P73">
        <f t="shared" ref="P73:P74" si="14">D73+$P$1</f>
        <v>236582.9608490612</v>
      </c>
      <c r="Q73">
        <v>1101.8347602124099</v>
      </c>
      <c r="R73">
        <v>0</v>
      </c>
      <c r="S73">
        <v>0</v>
      </c>
      <c r="T73">
        <v>0</v>
      </c>
    </row>
    <row r="74" spans="1:22" x14ac:dyDescent="0.4">
      <c r="A74" s="3" t="s">
        <v>22</v>
      </c>
      <c r="B74" s="3" t="s">
        <v>23</v>
      </c>
      <c r="C74">
        <v>0</v>
      </c>
      <c r="D74">
        <f>J74+K74+L74+M74+N74</f>
        <v>125763.55741733511</v>
      </c>
      <c r="E74">
        <v>282179.67125180899</v>
      </c>
      <c r="F74">
        <v>0.87293045648394496</v>
      </c>
      <c r="G74">
        <v>22626.697961956499</v>
      </c>
      <c r="H74">
        <v>7102.5767129513297</v>
      </c>
      <c r="I74">
        <v>9597.4591384874802</v>
      </c>
      <c r="J74">
        <v>39326.733813395302</v>
      </c>
      <c r="K74">
        <v>50843.184011688398</v>
      </c>
      <c r="L74">
        <v>15303.798393134501</v>
      </c>
      <c r="M74">
        <v>19297.530491231599</v>
      </c>
      <c r="N74">
        <v>992.31070788530405</v>
      </c>
      <c r="O74">
        <v>0</v>
      </c>
      <c r="P74">
        <f t="shared" si="14"/>
        <v>246323.22923633162</v>
      </c>
      <c r="Q74">
        <v>1127.27501714903</v>
      </c>
      <c r="R74">
        <v>0</v>
      </c>
      <c r="S74">
        <v>0</v>
      </c>
      <c r="T74">
        <v>0</v>
      </c>
    </row>
    <row r="75" spans="1:22" x14ac:dyDescent="0.4">
      <c r="A75" s="1"/>
    </row>
    <row r="76" spans="1:22" x14ac:dyDescent="0.4">
      <c r="A76" t="s">
        <v>20</v>
      </c>
      <c r="B76" t="s">
        <v>21</v>
      </c>
      <c r="C76">
        <v>2</v>
      </c>
      <c r="D76">
        <f>J76+K76+L76+M76+N76</f>
        <v>116706.4157905087</v>
      </c>
      <c r="E76">
        <v>282179.67125387199</v>
      </c>
      <c r="F76">
        <v>0.840833383054163</v>
      </c>
      <c r="G76" s="4">
        <v>20578.507216446698</v>
      </c>
      <c r="H76">
        <v>7102.57515066207</v>
      </c>
      <c r="I76">
        <v>2588.5052959285099</v>
      </c>
      <c r="J76">
        <v>30269.587663037299</v>
      </c>
      <c r="K76">
        <v>50843.185173268597</v>
      </c>
      <c r="L76">
        <v>15303.8015139941</v>
      </c>
      <c r="M76">
        <v>19297.530732323401</v>
      </c>
      <c r="N76">
        <v>992.31070788530405</v>
      </c>
      <c r="O76">
        <v>0</v>
      </c>
      <c r="P76">
        <f t="shared" ref="P76:P77" si="15">D76+$P$1</f>
        <v>237266.08760950522</v>
      </c>
      <c r="Q76">
        <v>1127.2750356983099</v>
      </c>
      <c r="R76">
        <v>0</v>
      </c>
    </row>
    <row r="77" spans="1:22" x14ac:dyDescent="0.4">
      <c r="A77" s="2" t="s">
        <v>22</v>
      </c>
      <c r="B77" s="2" t="s">
        <v>21</v>
      </c>
      <c r="C77">
        <v>2</v>
      </c>
      <c r="D77">
        <f>J77+K77+L77+M77+N77</f>
        <v>121633.35860365373</v>
      </c>
      <c r="E77">
        <v>282179.67123287602</v>
      </c>
      <c r="F77">
        <v>0.85824890324911396</v>
      </c>
      <c r="G77" s="4">
        <v>20824.7129679639</v>
      </c>
      <c r="H77">
        <v>7456.39074483072</v>
      </c>
      <c r="I77">
        <v>5114.4587365303096</v>
      </c>
      <c r="J77">
        <v>33395.562449324898</v>
      </c>
      <c r="K77">
        <v>51302.320205525801</v>
      </c>
      <c r="L77">
        <v>16537.7269222135</v>
      </c>
      <c r="M77">
        <v>19392.801250865799</v>
      </c>
      <c r="N77">
        <v>1004.9477757237401</v>
      </c>
      <c r="O77">
        <v>0</v>
      </c>
      <c r="P77">
        <f t="shared" si="15"/>
        <v>242193.03042265025</v>
      </c>
      <c r="Q77">
        <v>1183.4303612998101</v>
      </c>
      <c r="R77">
        <v>15931.1957490451</v>
      </c>
      <c r="S77">
        <v>346.33034237054602</v>
      </c>
      <c r="T77">
        <v>1.0959871186973</v>
      </c>
    </row>
    <row r="79" spans="1:22" x14ac:dyDescent="0.4">
      <c r="A79" t="s">
        <v>20</v>
      </c>
      <c r="B79" t="s">
        <v>21</v>
      </c>
      <c r="C79">
        <v>4</v>
      </c>
      <c r="D79">
        <f>J79+K79+L79+M79+N79</f>
        <v>116706.4157905051</v>
      </c>
      <c r="E79">
        <v>282179.671253876</v>
      </c>
      <c r="F79">
        <v>0.84083338305413902</v>
      </c>
      <c r="G79" s="4">
        <v>20578.5072164468</v>
      </c>
      <c r="H79">
        <v>7102.5751506616798</v>
      </c>
      <c r="I79">
        <v>2588.50529592865</v>
      </c>
      <c r="J79">
        <v>30269.587663037099</v>
      </c>
      <c r="K79">
        <v>50843.185173268197</v>
      </c>
      <c r="L79">
        <v>15303.8015139912</v>
      </c>
      <c r="M79">
        <v>19297.530732323299</v>
      </c>
      <c r="N79">
        <v>992.31070788530405</v>
      </c>
      <c r="O79">
        <v>0</v>
      </c>
      <c r="P79">
        <f t="shared" ref="P79:P81" si="16">D79+$P$1</f>
        <v>237266.08760950161</v>
      </c>
      <c r="Q79">
        <v>1127.2750356983499</v>
      </c>
      <c r="R79">
        <v>0</v>
      </c>
    </row>
    <row r="80" spans="1:22" x14ac:dyDescent="0.4">
      <c r="A80" t="s">
        <v>22</v>
      </c>
      <c r="B80" t="s">
        <v>21</v>
      </c>
      <c r="C80">
        <v>4</v>
      </c>
      <c r="D80">
        <f>J80+K80+L80+M80+N80</f>
        <v>121744.79706913032</v>
      </c>
      <c r="E80">
        <v>282179.88376308198</v>
      </c>
      <c r="F80">
        <v>0.85713546401894802</v>
      </c>
      <c r="G80">
        <v>21291.5607898614</v>
      </c>
      <c r="H80">
        <v>7432.3603175362596</v>
      </c>
      <c r="I80">
        <v>5035.2758648834497</v>
      </c>
      <c r="J80">
        <v>33759.196972281097</v>
      </c>
      <c r="K80">
        <v>51128.3645002267</v>
      </c>
      <c r="L80">
        <v>16070.129576240101</v>
      </c>
      <c r="M80">
        <v>19356.7120304526</v>
      </c>
      <c r="N80">
        <v>1430.39398992981</v>
      </c>
      <c r="O80">
        <v>0</v>
      </c>
      <c r="P80">
        <f t="shared" si="16"/>
        <v>242304.46888812684</v>
      </c>
      <c r="Q80">
        <v>1179.61640190856</v>
      </c>
      <c r="R80">
        <v>13411.4010346792</v>
      </c>
      <c r="S80">
        <v>478.97860838140201</v>
      </c>
      <c r="T80">
        <v>0.22564405635506199</v>
      </c>
      <c r="U80">
        <v>10550.3210016294</v>
      </c>
      <c r="V80">
        <v>75.359435725924598</v>
      </c>
    </row>
    <row r="81" spans="1:20" x14ac:dyDescent="0.4">
      <c r="D81">
        <f>D80-D74</f>
        <v>-4018.7603482047853</v>
      </c>
      <c r="E81">
        <f t="shared" ref="E81:N81" si="17">E80-E74</f>
        <v>0.21251127298455685</v>
      </c>
      <c r="F81">
        <f t="shared" si="17"/>
        <v>-1.5794992464996938E-2</v>
      </c>
      <c r="G81">
        <f t="shared" si="17"/>
        <v>-1335.1371720950992</v>
      </c>
      <c r="H81">
        <f t="shared" si="17"/>
        <v>329.78360458492989</v>
      </c>
      <c r="I81">
        <f t="shared" si="17"/>
        <v>-4562.1832736040305</v>
      </c>
      <c r="J81">
        <f t="shared" si="17"/>
        <v>-5567.5368411142044</v>
      </c>
      <c r="K81">
        <f t="shared" si="17"/>
        <v>285.1804885383026</v>
      </c>
      <c r="L81">
        <f t="shared" si="17"/>
        <v>766.33118310559985</v>
      </c>
      <c r="M81">
        <f t="shared" si="17"/>
        <v>59.181539221001003</v>
      </c>
      <c r="N81">
        <f t="shared" si="17"/>
        <v>438.08328204450595</v>
      </c>
      <c r="P81">
        <f t="shared" si="16"/>
        <v>116540.91147079173</v>
      </c>
    </row>
    <row r="82" spans="1:20" x14ac:dyDescent="0.4">
      <c r="A82" s="1" t="s">
        <v>34</v>
      </c>
      <c r="G82" s="4"/>
    </row>
    <row r="83" spans="1:20" x14ac:dyDescent="0.4">
      <c r="A83" t="s">
        <v>22</v>
      </c>
      <c r="B83" t="s">
        <v>21</v>
      </c>
      <c r="C83">
        <v>4</v>
      </c>
      <c r="D83">
        <f>J83+K83+L83+M83+N83</f>
        <v>147118.48206815872</v>
      </c>
      <c r="E83">
        <v>355610.364944759</v>
      </c>
      <c r="F83">
        <v>0.75267772890587503</v>
      </c>
      <c r="G83">
        <v>25765.651662743599</v>
      </c>
      <c r="H83">
        <v>7150.9042815892099</v>
      </c>
      <c r="I83">
        <v>5144.3184852884797</v>
      </c>
      <c r="J83">
        <v>38060.874429621297</v>
      </c>
      <c r="K83">
        <v>64168.339029134899</v>
      </c>
      <c r="L83">
        <v>19539.954214541001</v>
      </c>
      <c r="M83">
        <v>24338.851661831999</v>
      </c>
      <c r="N83">
        <v>1010.46273302954</v>
      </c>
      <c r="O83">
        <v>0</v>
      </c>
      <c r="P83">
        <f t="shared" ref="P83" si="18">D83+$P$1</f>
        <v>267678.15388715523</v>
      </c>
      <c r="Q83">
        <v>1597.68911089628</v>
      </c>
      <c r="R83">
        <v>13084.0423994256</v>
      </c>
      <c r="S83">
        <v>467.28722855091399</v>
      </c>
      <c r="T83">
        <v>-0.25904927491985202</v>
      </c>
    </row>
    <row r="84" spans="1:20" x14ac:dyDescent="0.4">
      <c r="A84" t="s">
        <v>22</v>
      </c>
      <c r="B84" t="s">
        <v>35</v>
      </c>
      <c r="C84" t="s">
        <v>35</v>
      </c>
      <c r="D84" t="s">
        <v>36</v>
      </c>
      <c r="E84" t="s">
        <v>36</v>
      </c>
      <c r="F84" t="s">
        <v>36</v>
      </c>
      <c r="G84" s="4">
        <v>28838</v>
      </c>
      <c r="H84">
        <v>7567.5</v>
      </c>
      <c r="I84">
        <v>13764.1</v>
      </c>
      <c r="J84">
        <v>50169.7</v>
      </c>
      <c r="K84" t="s">
        <v>36</v>
      </c>
      <c r="L84" t="s">
        <v>36</v>
      </c>
      <c r="M84" t="s">
        <v>36</v>
      </c>
      <c r="N84" t="s">
        <v>36</v>
      </c>
    </row>
    <row r="86" spans="1:20" hidden="1" x14ac:dyDescent="0.4">
      <c r="A86" s="1" t="s">
        <v>26</v>
      </c>
      <c r="G86" s="4"/>
      <c r="P86" t="s">
        <v>15</v>
      </c>
      <c r="Q86" t="s">
        <v>16</v>
      </c>
      <c r="R86" t="s">
        <v>17</v>
      </c>
      <c r="S86" t="s">
        <v>18</v>
      </c>
      <c r="T86" t="s">
        <v>19</v>
      </c>
    </row>
    <row r="87" spans="1:20" hidden="1" x14ac:dyDescent="0.4">
      <c r="A87" t="s">
        <v>0</v>
      </c>
      <c r="B87" t="s">
        <v>1</v>
      </c>
      <c r="C87" t="s">
        <v>2</v>
      </c>
      <c r="D87" t="s">
        <v>3</v>
      </c>
      <c r="E87" t="s">
        <v>4</v>
      </c>
      <c r="F87" t="s">
        <v>5</v>
      </c>
      <c r="G87" s="4" t="s">
        <v>6</v>
      </c>
      <c r="H87" t="s">
        <v>7</v>
      </c>
      <c r="I87" t="s">
        <v>8</v>
      </c>
      <c r="J87" t="s">
        <v>9</v>
      </c>
      <c r="K87" t="s">
        <v>10</v>
      </c>
      <c r="L87" t="s">
        <v>11</v>
      </c>
      <c r="M87" t="s">
        <v>12</v>
      </c>
      <c r="N87" t="s">
        <v>13</v>
      </c>
      <c r="O87" t="s">
        <v>14</v>
      </c>
      <c r="P87">
        <v>63734.6679</v>
      </c>
      <c r="Q87">
        <v>1078.4492829999999</v>
      </c>
      <c r="R87">
        <v>624.70352849999995</v>
      </c>
      <c r="S87">
        <v>13.014656840000001</v>
      </c>
      <c r="T87">
        <v>27.514184579999998</v>
      </c>
    </row>
    <row r="88" spans="1:20" hidden="1" x14ac:dyDescent="0.4">
      <c r="A88" s="2" t="s">
        <v>20</v>
      </c>
      <c r="B88" t="s">
        <v>21</v>
      </c>
      <c r="C88">
        <v>4</v>
      </c>
      <c r="D88">
        <v>29525.427309999999</v>
      </c>
      <c r="E88">
        <v>80391.755990000005</v>
      </c>
      <c r="F88">
        <v>0.79280104200000001</v>
      </c>
      <c r="G88" s="4">
        <v>5050.6365619999997</v>
      </c>
      <c r="H88">
        <v>4678.3390820000004</v>
      </c>
      <c r="I88">
        <v>2508.6600360000002</v>
      </c>
      <c r="J88">
        <v>12237.635679999999</v>
      </c>
      <c r="K88">
        <v>13920</v>
      </c>
      <c r="L88">
        <v>2841.544922</v>
      </c>
      <c r="M88">
        <v>5380.5444360000001</v>
      </c>
      <c r="N88">
        <v>279.27307350000001</v>
      </c>
      <c r="O88">
        <v>0</v>
      </c>
      <c r="P88">
        <v>64865.028310000002</v>
      </c>
      <c r="Q88">
        <v>1191.7509680000001</v>
      </c>
      <c r="R88">
        <v>7243.7162129999997</v>
      </c>
      <c r="S88">
        <v>452.7322633</v>
      </c>
      <c r="T88">
        <v>5.8154128590000003</v>
      </c>
    </row>
    <row r="89" spans="1:20" x14ac:dyDescent="0.4">
      <c r="A89" s="7" t="s">
        <v>37</v>
      </c>
    </row>
    <row r="91" spans="1:20" x14ac:dyDescent="0.4">
      <c r="A91" t="s">
        <v>32</v>
      </c>
      <c r="B91" t="s">
        <v>33</v>
      </c>
      <c r="C91" t="s">
        <v>2</v>
      </c>
    </row>
    <row r="92" spans="1:20" x14ac:dyDescent="0.4">
      <c r="A92">
        <v>20</v>
      </c>
      <c r="B92">
        <v>60</v>
      </c>
      <c r="C92">
        <v>2</v>
      </c>
      <c r="D92">
        <f t="shared" ref="D92:D98" si="19">J92+K92+L92+M92+N92</f>
        <v>120712.69088313227</v>
      </c>
      <c r="E92">
        <v>282179.67123285501</v>
      </c>
      <c r="F92">
        <v>0.854946898908852</v>
      </c>
      <c r="G92">
        <v>18681.222424938602</v>
      </c>
      <c r="H92">
        <v>5354.6114985546601</v>
      </c>
      <c r="I92">
        <v>8156.08309050551</v>
      </c>
      <c r="J92">
        <v>32191.917013998798</v>
      </c>
      <c r="K92">
        <v>51372.124296964801</v>
      </c>
      <c r="L92">
        <v>16725.325417965501</v>
      </c>
      <c r="M92">
        <v>19407.285599838699</v>
      </c>
      <c r="N92">
        <v>1016.03855436447</v>
      </c>
      <c r="O92">
        <v>0</v>
      </c>
      <c r="P92">
        <f t="shared" ref="P92:P98" si="20">D92+$P$1</f>
        <v>241272.36270212877</v>
      </c>
      <c r="Q92">
        <v>1192.7637589594799</v>
      </c>
      <c r="R92">
        <v>19736.206339365101</v>
      </c>
      <c r="S92">
        <v>481.37088632597801</v>
      </c>
      <c r="T92" s="6">
        <v>0.12591688076390301</v>
      </c>
    </row>
    <row r="93" spans="1:20" x14ac:dyDescent="0.4">
      <c r="A93">
        <v>20</v>
      </c>
      <c r="B93">
        <v>50</v>
      </c>
      <c r="C93">
        <v>2</v>
      </c>
      <c r="D93">
        <f t="shared" si="19"/>
        <v>119392.42354269064</v>
      </c>
      <c r="E93">
        <v>282254.81855225202</v>
      </c>
      <c r="F93">
        <v>0.85006146065890897</v>
      </c>
      <c r="G93">
        <v>19407.840072768398</v>
      </c>
      <c r="H93">
        <v>5891.8301217549197</v>
      </c>
      <c r="I93">
        <v>6659.4942697455399</v>
      </c>
      <c r="J93">
        <v>31959.164464268899</v>
      </c>
      <c r="K93">
        <v>51102.045942938203</v>
      </c>
      <c r="L93">
        <v>15967.176494174801</v>
      </c>
      <c r="M93">
        <v>19353.573908279199</v>
      </c>
      <c r="N93">
        <v>1010.46273302954</v>
      </c>
      <c r="O93">
        <v>0</v>
      </c>
      <c r="P93">
        <f t="shared" si="20"/>
        <v>239952.09536168716</v>
      </c>
      <c r="Q93">
        <v>1312.43161993582</v>
      </c>
      <c r="R93">
        <v>18377.616631847999</v>
      </c>
      <c r="S93">
        <v>459.4404157962</v>
      </c>
      <c r="T93" s="6">
        <v>0.14758705239613301</v>
      </c>
    </row>
    <row r="94" spans="1:20" x14ac:dyDescent="0.4">
      <c r="A94">
        <v>20</v>
      </c>
      <c r="B94">
        <v>40</v>
      </c>
      <c r="C94">
        <v>2</v>
      </c>
      <c r="D94">
        <f t="shared" si="19"/>
        <v>117777.02945340994</v>
      </c>
      <c r="E94">
        <v>282179.67123287299</v>
      </c>
      <c r="F94">
        <v>0.84456314023622803</v>
      </c>
      <c r="G94">
        <v>19298.245593088301</v>
      </c>
      <c r="H94">
        <v>5682.0016560700296</v>
      </c>
      <c r="I94">
        <v>5350.3346939491703</v>
      </c>
      <c r="J94">
        <v>30330.5819431075</v>
      </c>
      <c r="K94">
        <v>51097.733915068202</v>
      </c>
      <c r="L94">
        <v>15987.901266609</v>
      </c>
      <c r="M94">
        <v>19350.349595595701</v>
      </c>
      <c r="N94">
        <v>1010.46273302954</v>
      </c>
      <c r="O94">
        <v>0</v>
      </c>
      <c r="P94">
        <f t="shared" si="20"/>
        <v>238336.70127240644</v>
      </c>
      <c r="Q94">
        <v>1265.6913868611</v>
      </c>
      <c r="R94">
        <v>17746.163883660702</v>
      </c>
      <c r="S94">
        <v>507.03325381887902</v>
      </c>
      <c r="T94" s="6">
        <v>-0.25983751983286502</v>
      </c>
    </row>
    <row r="95" spans="1:20" x14ac:dyDescent="0.4">
      <c r="A95">
        <v>20</v>
      </c>
      <c r="B95">
        <v>30</v>
      </c>
      <c r="C95">
        <v>2</v>
      </c>
      <c r="D95">
        <f t="shared" si="19"/>
        <v>116625.1695160947</v>
      </c>
      <c r="E95">
        <v>282182.50548365602</v>
      </c>
      <c r="F95">
        <v>0.84045954058697003</v>
      </c>
      <c r="G95">
        <v>19302.752565837702</v>
      </c>
      <c r="H95">
        <v>6226.5181629292701</v>
      </c>
      <c r="I95">
        <v>3974.5318253822402</v>
      </c>
      <c r="J95">
        <v>29503.802554149199</v>
      </c>
      <c r="K95">
        <v>51013.610661725899</v>
      </c>
      <c r="L95">
        <v>15760.601295416</v>
      </c>
      <c r="M95">
        <v>19332.981882301501</v>
      </c>
      <c r="N95">
        <v>1014.17312250211</v>
      </c>
      <c r="O95">
        <v>0</v>
      </c>
      <c r="P95">
        <f t="shared" si="20"/>
        <v>237184.84133509122</v>
      </c>
      <c r="Q95">
        <v>1386.9848841974899</v>
      </c>
      <c r="R95">
        <v>18436.445202769701</v>
      </c>
      <c r="S95">
        <v>209.50505912238299</v>
      </c>
      <c r="T95" s="6">
        <v>0.28049716262959101</v>
      </c>
    </row>
    <row r="96" spans="1:20" x14ac:dyDescent="0.4">
      <c r="A96" s="3">
        <v>20</v>
      </c>
      <c r="B96" s="3">
        <v>20</v>
      </c>
      <c r="C96" s="3">
        <v>2</v>
      </c>
      <c r="D96">
        <f t="shared" si="19"/>
        <v>115198.459983006</v>
      </c>
      <c r="E96">
        <v>282179.67123297497</v>
      </c>
      <c r="F96">
        <v>0.83541194997266699</v>
      </c>
      <c r="G96">
        <v>19351.2255529412</v>
      </c>
      <c r="H96">
        <v>6002.0469674603501</v>
      </c>
      <c r="I96">
        <v>2645.4376652921501</v>
      </c>
      <c r="J96">
        <v>27998.710185693701</v>
      </c>
      <c r="K96">
        <v>51033.4442867088</v>
      </c>
      <c r="L96">
        <v>15815.1228903871</v>
      </c>
      <c r="M96">
        <v>19337.009497714302</v>
      </c>
      <c r="N96">
        <v>1014.17312250211</v>
      </c>
      <c r="O96">
        <v>0</v>
      </c>
      <c r="P96">
        <f t="shared" si="20"/>
        <v>235758.13180200252</v>
      </c>
      <c r="Q96">
        <v>1336.98290493166</v>
      </c>
      <c r="R96">
        <v>18577.307877855899</v>
      </c>
      <c r="S96">
        <v>432.030415764091</v>
      </c>
      <c r="T96" s="6">
        <v>-0.122490141098651</v>
      </c>
    </row>
    <row r="97" spans="1:20" x14ac:dyDescent="0.4">
      <c r="A97">
        <v>20</v>
      </c>
      <c r="B97">
        <v>15</v>
      </c>
      <c r="C97">
        <v>2</v>
      </c>
      <c r="D97">
        <f t="shared" si="19"/>
        <v>114451.25872361983</v>
      </c>
      <c r="E97">
        <v>282179.67123267101</v>
      </c>
      <c r="F97">
        <v>0.83277713625127903</v>
      </c>
      <c r="G97">
        <v>19390.977969205</v>
      </c>
      <c r="H97">
        <v>5599.5405456203798</v>
      </c>
      <c r="I97">
        <v>2128.1287863747102</v>
      </c>
      <c r="J97">
        <v>27118.647301200101</v>
      </c>
      <c r="K97">
        <v>51068.507704320902</v>
      </c>
      <c r="L97">
        <v>15909.3558282099</v>
      </c>
      <c r="M97">
        <v>19344.285156859401</v>
      </c>
      <c r="N97">
        <v>1010.46273302954</v>
      </c>
      <c r="O97">
        <v>0</v>
      </c>
      <c r="P97">
        <f t="shared" si="20"/>
        <v>235010.93054261635</v>
      </c>
      <c r="Q97">
        <v>1247.3228025527501</v>
      </c>
      <c r="R97">
        <v>16417.502561416801</v>
      </c>
      <c r="S97">
        <v>469.07150175476602</v>
      </c>
      <c r="T97" s="6">
        <v>0.46004655114715598</v>
      </c>
    </row>
    <row r="98" spans="1:20" x14ac:dyDescent="0.4">
      <c r="A98">
        <v>20</v>
      </c>
      <c r="B98">
        <v>12</v>
      </c>
      <c r="C98">
        <v>2</v>
      </c>
      <c r="D98">
        <f t="shared" si="19"/>
        <v>114787.7594081375</v>
      </c>
      <c r="E98">
        <v>282179.67123287602</v>
      </c>
      <c r="F98">
        <v>0.83403396920434802</v>
      </c>
      <c r="G98">
        <v>20436.472361711199</v>
      </c>
      <c r="H98">
        <v>4946.5396722567002</v>
      </c>
      <c r="I98">
        <v>2967.9237851293901</v>
      </c>
      <c r="J98">
        <v>28350.9358190973</v>
      </c>
      <c r="K98">
        <v>50843.184005923598</v>
      </c>
      <c r="L98">
        <v>15303.798385783</v>
      </c>
      <c r="M98">
        <v>19297.530489448302</v>
      </c>
      <c r="N98">
        <v>992.31070788530405</v>
      </c>
      <c r="O98">
        <v>0</v>
      </c>
      <c r="P98">
        <f t="shared" si="20"/>
        <v>235347.43122713402</v>
      </c>
      <c r="Q98">
        <v>1101.8639118583401</v>
      </c>
      <c r="R98">
        <v>13.380488321454299</v>
      </c>
      <c r="S98">
        <v>2.67609766429086</v>
      </c>
      <c r="T98" s="6">
        <v>-198.021555533488</v>
      </c>
    </row>
  </sheetData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2026-07-23T23:21:00Z</dcterms:modified>
</cp:coreProperties>
</file>