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7882DF40-535F-4A2F-B31F-3963AB7D704C}" xr6:coauthVersionLast="47" xr6:coauthVersionMax="47" xr10:uidLastSave="{00000000-0000-0000-0000-000000000000}"/>
  <bookViews>
    <workbookView xWindow="-90" yWindow="0" windowWidth="9780" windowHeight="10170" activeTab="1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I17" i="2"/>
  <c r="D17" i="2" s="1"/>
  <c r="K58" i="1"/>
  <c r="D57" i="1"/>
  <c r="P57" i="1" s="1"/>
  <c r="D76" i="1"/>
  <c r="K70" i="1"/>
  <c r="K5" i="1"/>
  <c r="O69" i="1"/>
  <c r="N69" i="1"/>
  <c r="M69" i="1"/>
  <c r="L69" i="1"/>
  <c r="K69" i="1"/>
  <c r="J69" i="1"/>
  <c r="I69" i="1"/>
  <c r="H69" i="1"/>
  <c r="G69" i="1"/>
  <c r="F69" i="1"/>
  <c r="E69" i="1"/>
  <c r="D69" i="1"/>
  <c r="D68" i="1"/>
  <c r="P68" i="1" s="1"/>
  <c r="P69" i="1" s="1"/>
  <c r="D62" i="1"/>
  <c r="P62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04" i="1"/>
  <c r="P104" i="1" s="1"/>
  <c r="D103" i="1"/>
  <c r="P103" i="1" s="1"/>
  <c r="D102" i="1"/>
  <c r="P102" i="1" s="1"/>
  <c r="D101" i="1"/>
  <c r="P101" i="1" s="1"/>
  <c r="D100" i="1"/>
  <c r="P100" i="1" s="1"/>
  <c r="D99" i="1"/>
  <c r="P99" i="1" s="1"/>
  <c r="D98" i="1"/>
  <c r="P98" i="1" s="1"/>
  <c r="D89" i="1"/>
  <c r="P89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29" i="2" l="1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101" authorId="22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tc={DBFBEADE-D533-486A-B634-A22EF73696DB}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DBFBEADE-D533-486A-B634-A22EF73696D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optimal. The solution above has no shutdowns and is better</t>
      </text>
    </comment>
    <comment ref="A13" authorId="4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5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6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7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8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9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0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<sst xmlns="http://schemas.openxmlformats.org/spreadsheetml/2006/main" count="207" uniqueCount="63">
  <si>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</si>
  <si>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</si>
  <si>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</si>
  <si>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</si>
  <si>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</si>
  <si>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</si>
  <si>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</si>
  <si>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</si>
  <si>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</si>
  <si>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</si>
  <si>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</si>
  <si>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</si>
  <si>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</si>
  <si>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</si>
  <si>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</si>
  <si>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</si>
  <si>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</si>
  <si>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</si>
  <si>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</si>
  <si>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</si>
  <si>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</si>
  <si>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</si>
  <si>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</si>
  <si>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</si>
  <si>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</si>
  <si>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</si>
  <si>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</si>
  <si>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</si>
  <si>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</si>
  <si>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</si>
  <si>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</si>
  <si>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</si>
  <si>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</si>
  <si>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</si>
  <si>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</si>
  <si>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</si>
  <si>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</si>
  <si>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</si>
  <si>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</si>
  <si>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</si>
  <si>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</si>
  <si>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</si>
  <si>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</si>
  <si>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</si>
  <si>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</si>
  <si>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</si>
  <si>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</si>
  <si>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</si>
  <si>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</si>
  <si>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</si>
  <si>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</si>
  <si>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</si>
  <si>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</si>
  <si>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</si>
  <si>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</si>
  <si>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</si>
  <si>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</si>
  <si>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</si>
  <si>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</si>
  <si>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</si>
  <si>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</si>
  <si>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</si>
  <si>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Start-Up, NO SHUTDOWN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</si>
</sst>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0" xfId="0" applyFont="1" applyAlignment="1">
      <alignment horizontal="center"/>
    </xf>
    <xf numFmtId="0" fontId="16" fillId="0" borderId="0" xfId="0" applyFon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10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6T15:32:55.69" personId="{114E4FE4-B7B1-4FA3-A72A-3A97E9B9C3CF}" id="{DBFBEADE-D533-486A-B634-A22EF73696DB}">
    <text>Not optimal. The solution above has no shutdowns and is better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04"/>
  <sheetViews>
    <sheetView zoomScale="110" zoomScaleNormal="110" workbookViewId="0">
      <selection activeCell="K59" sqref="K59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11" t="s">
        <v>45</v>
      </c>
      <c r="B33" s="11"/>
      <c r="C33" s="11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1" t="s">
        <v>44</v>
      </c>
      <c r="B64" s="11"/>
      <c r="C64" s="11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0"/>
    </row>
    <row r="67" spans="1:22" x14ac:dyDescent="0.35">
      <c r="A67" s="11" t="s">
        <v>60</v>
      </c>
      <c r="B67" s="11"/>
      <c r="C67" s="9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11" t="s">
        <v>61</v>
      </c>
      <c r="B69" s="11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7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ref="P89" si="21">D89+$P$1</f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36</v>
      </c>
      <c r="L90" t="s">
        <v>36</v>
      </c>
      <c r="M90" t="s">
        <v>36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A94" s="2" t="s">
        <v>20</v>
      </c>
      <c r="B94" t="s">
        <v>21</v>
      </c>
      <c r="C94">
        <v>4</v>
      </c>
      <c r="D94">
        <v>29525.427309999999</v>
      </c>
      <c r="E94">
        <v>80391.755990000005</v>
      </c>
      <c r="F94">
        <v>0.79280104200000001</v>
      </c>
      <c r="G94" s="4">
        <v>5050.6365619999997</v>
      </c>
      <c r="H94">
        <v>4678.3390820000004</v>
      </c>
      <c r="I94">
        <v>2508.6600360000002</v>
      </c>
      <c r="J94">
        <v>12237.635679999999</v>
      </c>
      <c r="K94">
        <v>13920</v>
      </c>
      <c r="L94">
        <v>2841.544922</v>
      </c>
      <c r="M94">
        <v>5380.5444360000001</v>
      </c>
      <c r="N94">
        <v>279.27307350000001</v>
      </c>
      <c r="O94">
        <v>0</v>
      </c>
      <c r="P94">
        <v>64865.028310000002</v>
      </c>
      <c r="Q94">
        <v>1191.7509680000001</v>
      </c>
      <c r="R94">
        <v>7243.7162129999997</v>
      </c>
      <c r="S94">
        <v>452.7322633</v>
      </c>
      <c r="T94">
        <v>5.8154128590000003</v>
      </c>
    </row>
    <row r="95" spans="1:22" x14ac:dyDescent="0.35">
      <c r="A95" s="7" t="s">
        <v>37</v>
      </c>
    </row>
    <row r="97" spans="1:20" x14ac:dyDescent="0.35">
      <c r="A97" t="s">
        <v>32</v>
      </c>
      <c r="B97" t="s">
        <v>33</v>
      </c>
      <c r="C97" t="s">
        <v>2</v>
      </c>
    </row>
    <row r="98" spans="1:20" x14ac:dyDescent="0.35">
      <c r="A98">
        <v>20</v>
      </c>
      <c r="B98">
        <v>60</v>
      </c>
      <c r="C98">
        <v>2</v>
      </c>
      <c r="D98">
        <f t="shared" ref="D98:D104" si="22">J98+K98+L98+M98+N98</f>
        <v>120712.69088313227</v>
      </c>
      <c r="E98">
        <v>282179.67123285501</v>
      </c>
      <c r="F98">
        <v>0.854946898908852</v>
      </c>
      <c r="G98">
        <v>18681.222424938602</v>
      </c>
      <c r="H98">
        <v>5354.6114985546601</v>
      </c>
      <c r="I98">
        <v>8156.08309050551</v>
      </c>
      <c r="J98">
        <v>32191.917013998798</v>
      </c>
      <c r="K98">
        <v>51372.124296964801</v>
      </c>
      <c r="L98">
        <v>16725.325417965501</v>
      </c>
      <c r="M98">
        <v>19407.285599838699</v>
      </c>
      <c r="N98">
        <v>1016.03855436447</v>
      </c>
      <c r="O98">
        <v>0</v>
      </c>
      <c r="P98">
        <f t="shared" ref="P98:P104" si="23">D98+$P$1</f>
        <v>241272.36270212877</v>
      </c>
      <c r="Q98">
        <v>1192.7637589594799</v>
      </c>
      <c r="R98">
        <v>19736.206339365101</v>
      </c>
      <c r="S98">
        <v>481.37088632597801</v>
      </c>
      <c r="T98" s="6">
        <v>0.12591688076390301</v>
      </c>
    </row>
    <row r="99" spans="1:20" x14ac:dyDescent="0.35">
      <c r="A99">
        <v>20</v>
      </c>
      <c r="B99">
        <v>50</v>
      </c>
      <c r="C99">
        <v>2</v>
      </c>
      <c r="D99">
        <f t="shared" si="22"/>
        <v>119392.42354269064</v>
      </c>
      <c r="E99">
        <v>282254.81855225202</v>
      </c>
      <c r="F99">
        <v>0.85006146065890897</v>
      </c>
      <c r="G99">
        <v>19407.840072768398</v>
      </c>
      <c r="H99">
        <v>5891.8301217549197</v>
      </c>
      <c r="I99">
        <v>6659.4942697455399</v>
      </c>
      <c r="J99">
        <v>31959.164464268899</v>
      </c>
      <c r="K99">
        <v>51102.045942938203</v>
      </c>
      <c r="L99">
        <v>15967.176494174801</v>
      </c>
      <c r="M99">
        <v>19353.573908279199</v>
      </c>
      <c r="N99">
        <v>1010.46273302954</v>
      </c>
      <c r="O99">
        <v>0</v>
      </c>
      <c r="P99">
        <f t="shared" si="23"/>
        <v>239952.09536168716</v>
      </c>
      <c r="Q99">
        <v>1312.43161993582</v>
      </c>
      <c r="R99">
        <v>18377.616631847999</v>
      </c>
      <c r="S99">
        <v>459.4404157962</v>
      </c>
      <c r="T99" s="6">
        <v>0.14758705239613301</v>
      </c>
    </row>
    <row r="100" spans="1:20" x14ac:dyDescent="0.35">
      <c r="A100">
        <v>20</v>
      </c>
      <c r="B100">
        <v>40</v>
      </c>
      <c r="C100">
        <v>2</v>
      </c>
      <c r="D100">
        <f t="shared" si="22"/>
        <v>117777.02945340994</v>
      </c>
      <c r="E100">
        <v>282179.67123287299</v>
      </c>
      <c r="F100">
        <v>0.84456314023622803</v>
      </c>
      <c r="G100">
        <v>19298.245593088301</v>
      </c>
      <c r="H100">
        <v>5682.0016560700296</v>
      </c>
      <c r="I100">
        <v>5350.3346939491703</v>
      </c>
      <c r="J100">
        <v>30330.5819431075</v>
      </c>
      <c r="K100">
        <v>51097.733915068202</v>
      </c>
      <c r="L100">
        <v>15987.901266609</v>
      </c>
      <c r="M100">
        <v>19350.349595595701</v>
      </c>
      <c r="N100">
        <v>1010.46273302954</v>
      </c>
      <c r="O100">
        <v>0</v>
      </c>
      <c r="P100">
        <f t="shared" si="23"/>
        <v>238336.70127240644</v>
      </c>
      <c r="Q100">
        <v>1265.6913868611</v>
      </c>
      <c r="R100">
        <v>17746.163883660702</v>
      </c>
      <c r="S100">
        <v>507.03325381887902</v>
      </c>
      <c r="T100" s="6">
        <v>-0.25983751983286502</v>
      </c>
    </row>
    <row r="101" spans="1:20" x14ac:dyDescent="0.35">
      <c r="A101">
        <v>20</v>
      </c>
      <c r="B101">
        <v>30</v>
      </c>
      <c r="C101">
        <v>2</v>
      </c>
      <c r="D101">
        <f t="shared" si="22"/>
        <v>116625.1695160947</v>
      </c>
      <c r="E101">
        <v>282182.50548365602</v>
      </c>
      <c r="F101">
        <v>0.84045954058697003</v>
      </c>
      <c r="G101">
        <v>19302.752565837702</v>
      </c>
      <c r="H101">
        <v>6226.5181629292701</v>
      </c>
      <c r="I101">
        <v>3974.5318253822402</v>
      </c>
      <c r="J101">
        <v>29503.802554149199</v>
      </c>
      <c r="K101">
        <v>51013.610661725899</v>
      </c>
      <c r="L101">
        <v>15760.601295416</v>
      </c>
      <c r="M101">
        <v>19332.981882301501</v>
      </c>
      <c r="N101">
        <v>1014.17312250211</v>
      </c>
      <c r="O101">
        <v>0</v>
      </c>
      <c r="P101">
        <f t="shared" si="23"/>
        <v>237184.84133509122</v>
      </c>
      <c r="Q101">
        <v>1386.9848841974899</v>
      </c>
      <c r="R101">
        <v>18436.445202769701</v>
      </c>
      <c r="S101">
        <v>209.50505912238299</v>
      </c>
      <c r="T101" s="6">
        <v>0.28049716262959101</v>
      </c>
    </row>
    <row r="102" spans="1:20" x14ac:dyDescent="0.35">
      <c r="A102" s="3">
        <v>20</v>
      </c>
      <c r="B102" s="3">
        <v>20</v>
      </c>
      <c r="C102" s="3">
        <v>2</v>
      </c>
      <c r="D102">
        <f t="shared" si="22"/>
        <v>115198.459983006</v>
      </c>
      <c r="E102">
        <v>282179.67123297497</v>
      </c>
      <c r="F102">
        <v>0.83541194997266699</v>
      </c>
      <c r="G102">
        <v>19351.2255529412</v>
      </c>
      <c r="H102">
        <v>6002.0469674603501</v>
      </c>
      <c r="I102">
        <v>2645.4376652921501</v>
      </c>
      <c r="J102">
        <v>27998.710185693701</v>
      </c>
      <c r="K102">
        <v>51033.4442867088</v>
      </c>
      <c r="L102">
        <v>15815.1228903871</v>
      </c>
      <c r="M102">
        <v>19337.009497714302</v>
      </c>
      <c r="N102">
        <v>1014.17312250211</v>
      </c>
      <c r="O102">
        <v>0</v>
      </c>
      <c r="P102">
        <f t="shared" si="23"/>
        <v>235758.13180200252</v>
      </c>
      <c r="Q102">
        <v>1336.98290493166</v>
      </c>
      <c r="R102">
        <v>18577.307877855899</v>
      </c>
      <c r="S102">
        <v>432.030415764091</v>
      </c>
      <c r="T102" s="6">
        <v>-0.122490141098651</v>
      </c>
    </row>
    <row r="103" spans="1:20" x14ac:dyDescent="0.35">
      <c r="A103">
        <v>20</v>
      </c>
      <c r="B103">
        <v>15</v>
      </c>
      <c r="C103">
        <v>2</v>
      </c>
      <c r="D103">
        <f t="shared" si="22"/>
        <v>114451.25872361983</v>
      </c>
      <c r="E103">
        <v>282179.67123267101</v>
      </c>
      <c r="F103">
        <v>0.83277713625127903</v>
      </c>
      <c r="G103">
        <v>19390.977969205</v>
      </c>
      <c r="H103">
        <v>5599.5405456203798</v>
      </c>
      <c r="I103">
        <v>2128.1287863747102</v>
      </c>
      <c r="J103">
        <v>27118.647301200101</v>
      </c>
      <c r="K103">
        <v>51068.507704320902</v>
      </c>
      <c r="L103">
        <v>15909.3558282099</v>
      </c>
      <c r="M103">
        <v>19344.285156859401</v>
      </c>
      <c r="N103">
        <v>1010.46273302954</v>
      </c>
      <c r="O103">
        <v>0</v>
      </c>
      <c r="P103">
        <f t="shared" si="23"/>
        <v>235010.93054261635</v>
      </c>
      <c r="Q103">
        <v>1247.3228025527501</v>
      </c>
      <c r="R103">
        <v>16417.502561416801</v>
      </c>
      <c r="S103">
        <v>469.07150175476602</v>
      </c>
      <c r="T103" s="6">
        <v>0.46004655114715598</v>
      </c>
    </row>
    <row r="104" spans="1:20" x14ac:dyDescent="0.35">
      <c r="A104">
        <v>20</v>
      </c>
      <c r="B104">
        <v>12</v>
      </c>
      <c r="C104">
        <v>2</v>
      </c>
      <c r="D104">
        <f t="shared" si="22"/>
        <v>114787.7594081375</v>
      </c>
      <c r="E104">
        <v>282179.67123287602</v>
      </c>
      <c r="F104">
        <v>0.83403396920434802</v>
      </c>
      <c r="G104">
        <v>20436.472361711199</v>
      </c>
      <c r="H104">
        <v>4946.5396722567002</v>
      </c>
      <c r="I104">
        <v>2967.9237851293901</v>
      </c>
      <c r="J104">
        <v>28350.9358190973</v>
      </c>
      <c r="K104">
        <v>50843.184005923598</v>
      </c>
      <c r="L104">
        <v>15303.798385783</v>
      </c>
      <c r="M104">
        <v>19297.530489448302</v>
      </c>
      <c r="N104">
        <v>992.31070788530405</v>
      </c>
      <c r="O104">
        <v>0</v>
      </c>
      <c r="P104">
        <f t="shared" si="23"/>
        <v>235347.43122713402</v>
      </c>
      <c r="Q104">
        <v>1101.8639118583401</v>
      </c>
      <c r="R104">
        <v>13.380488321454299</v>
      </c>
      <c r="S104">
        <v>2.67609766429086</v>
      </c>
      <c r="T104" s="6">
        <v>-198.021555533488</v>
      </c>
    </row>
  </sheetData>
  <mergeCells count="4">
    <mergeCell ref="A64:C64"/>
    <mergeCell ref="A33:C33"/>
    <mergeCell ref="A67:B67"/>
    <mergeCell ref="A69:B69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tabSelected="1" workbookViewId="0">
      <selection activeCell="C11" sqref="C11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2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2"/>
    </row>
    <row r="8" spans="1:16" ht="14.75" customHeight="1" x14ac:dyDescent="0.35">
      <c r="D8" s="10"/>
      <c r="E8" s="10"/>
      <c r="F8" s="10"/>
      <c r="G8" s="10"/>
      <c r="H8" s="10"/>
      <c r="I8" s="10"/>
      <c r="J8" s="10"/>
      <c r="K8" s="10"/>
      <c r="M8" s="12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2"/>
    </row>
    <row r="10" spans="1:16" ht="14.75" customHeight="1" x14ac:dyDescent="0.35">
      <c r="D10" s="10">
        <f>H10+I10+J10+K10</f>
        <v>116423.6512611575</v>
      </c>
      <c r="E10">
        <v>19793.405782867099</v>
      </c>
      <c r="F10">
        <v>5278.7073577880201</v>
      </c>
      <c r="G10">
        <v>4906.1393788565601</v>
      </c>
      <c r="H10">
        <v>29978.252519511701</v>
      </c>
      <c r="I10">
        <v>51100.150850479702</v>
      </c>
      <c r="J10">
        <v>15994.396781481701</v>
      </c>
      <c r="K10">
        <v>19350.851109684401</v>
      </c>
      <c r="L10">
        <v>0</v>
      </c>
      <c r="M10" s="12"/>
    </row>
    <row r="11" spans="1:16" x14ac:dyDescent="0.35">
      <c r="D11" s="10"/>
      <c r="E11" s="10"/>
      <c r="F11" s="10"/>
      <c r="G11" s="10"/>
      <c r="H11" s="10"/>
      <c r="I11" s="10"/>
      <c r="J11" s="10"/>
      <c r="K11" s="10"/>
      <c r="M11" s="12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2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2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2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0">E16-E4</f>
        <v>-437.48289297220254</v>
      </c>
      <c r="F23" s="10">
        <f t="shared" si="0"/>
        <v>272.65942815481048</v>
      </c>
      <c r="G23" s="10">
        <f t="shared" si="0"/>
        <v>0.39617456624000624</v>
      </c>
      <c r="H23" s="10">
        <f t="shared" si="0"/>
        <v>-164.42729025120207</v>
      </c>
      <c r="I23" s="10">
        <f t="shared" si="0"/>
        <v>96.534215612700791</v>
      </c>
      <c r="J23" s="10">
        <f t="shared" si="0"/>
        <v>1191.1023712935985</v>
      </c>
      <c r="K23" s="10">
        <f t="shared" si="0"/>
        <v>148.7065830695974</v>
      </c>
      <c r="L23" s="10"/>
    </row>
    <row r="25" spans="1:12" x14ac:dyDescent="0.35">
      <c r="A25" t="s">
        <v>55</v>
      </c>
      <c r="D25" s="10">
        <f t="shared" ref="D25:K25" si="1">D7-D4</f>
        <v>759.28494035729091</v>
      </c>
      <c r="E25" s="10">
        <f t="shared" si="1"/>
        <v>-221.42920834019969</v>
      </c>
      <c r="F25" s="10">
        <f t="shared" si="1"/>
        <v>896.09976246881979</v>
      </c>
      <c r="G25" s="10">
        <f t="shared" si="1"/>
        <v>-4877.4899349639245</v>
      </c>
      <c r="H25" s="10">
        <f t="shared" si="1"/>
        <v>-4202.8193808354008</v>
      </c>
      <c r="I25" s="10">
        <f t="shared" si="1"/>
        <v>-87.19067491790338</v>
      </c>
      <c r="J25" s="10">
        <f t="shared" si="1"/>
        <v>4424.0083944886992</v>
      </c>
      <c r="K25" s="10">
        <f t="shared" si="1"/>
        <v>625.28660162189772</v>
      </c>
      <c r="L25" s="10"/>
    </row>
    <row r="27" spans="1:12" x14ac:dyDescent="0.35">
      <c r="A27" t="s">
        <v>53</v>
      </c>
      <c r="D27" s="10">
        <f t="shared" ref="D27:K27" si="2">D16-D13</f>
        <v>513.41117027959262</v>
      </c>
      <c r="E27" s="10">
        <f t="shared" si="2"/>
        <v>-214.21539764659974</v>
      </c>
      <c r="F27" s="10">
        <f t="shared" si="2"/>
        <v>-624.4983606493397</v>
      </c>
      <c r="G27" s="10">
        <f t="shared" si="2"/>
        <v>4877.8861089948059</v>
      </c>
      <c r="H27" s="10">
        <f t="shared" si="2"/>
        <v>4039.1723506987983</v>
      </c>
      <c r="I27" s="10">
        <f t="shared" si="2"/>
        <v>183.72486634590314</v>
      </c>
      <c r="J27" s="10">
        <f t="shared" si="2"/>
        <v>-3232.9060231951007</v>
      </c>
      <c r="K27" s="10">
        <f t="shared" si="2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3">E18-E4</f>
        <v>-71.19886349780063</v>
      </c>
      <c r="F29" s="10">
        <f t="shared" si="3"/>
        <v>774.71175120847056</v>
      </c>
      <c r="G29" s="10">
        <f t="shared" si="3"/>
        <v>-7.7077004276097796</v>
      </c>
      <c r="H29" s="10">
        <f t="shared" si="3"/>
        <v>695.80518728300012</v>
      </c>
      <c r="I29" s="10">
        <f t="shared" si="3"/>
        <v>-89.815674909797963</v>
      </c>
      <c r="J29" s="10">
        <f t="shared" si="3"/>
        <v>1156.1203736896005</v>
      </c>
      <c r="K29" s="10">
        <f t="shared" si="3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4">E16-E18</f>
        <v>-366.2840294744019</v>
      </c>
      <c r="F31" s="10">
        <f t="shared" si="4"/>
        <v>-502.05232305366007</v>
      </c>
      <c r="G31" s="10">
        <f t="shared" si="4"/>
        <v>8.1038749938497858</v>
      </c>
      <c r="H31" s="10">
        <f t="shared" si="4"/>
        <v>-860.23247753420219</v>
      </c>
      <c r="I31" s="10">
        <f t="shared" si="4"/>
        <v>186.34989052249875</v>
      </c>
      <c r="J31" s="10">
        <f t="shared" si="4"/>
        <v>34.981997603998025</v>
      </c>
      <c r="K31" s="10">
        <f t="shared" si="4"/>
        <v>-25.670264385902556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2026-08-06T15:48:19Z</dcterms:modified>
</cp:coreProperties>
</file>