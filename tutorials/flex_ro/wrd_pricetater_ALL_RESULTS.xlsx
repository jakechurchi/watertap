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375D47A7-1E45-478A-AACA-52386B27996A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P63" i="1"/>
  <c r="P76" i="1"/>
  <c r="D76" i="1"/>
  <c r="D45" i="1"/>
  <c r="P45" i="1" s="1"/>
  <c r="P94" i="1"/>
  <c r="P93" i="1"/>
  <c r="P92" i="1"/>
  <c r="P91" i="1"/>
  <c r="P90" i="1"/>
  <c r="P89" i="1"/>
  <c r="P88" i="1"/>
  <c r="P79" i="1"/>
  <c r="P75" i="1"/>
  <c r="P73" i="1"/>
  <c r="P72" i="1"/>
  <c r="P70" i="1"/>
  <c r="P69" i="1"/>
  <c r="P59" i="1"/>
  <c r="P58" i="1"/>
  <c r="P55" i="1"/>
  <c r="P54" i="1"/>
  <c r="P52" i="1"/>
  <c r="P51" i="1"/>
  <c r="P42" i="1"/>
  <c r="P49" i="1"/>
  <c r="P48" i="1"/>
  <c r="P38" i="1"/>
  <c r="P37" i="1"/>
  <c r="P35" i="1"/>
  <c r="P34" i="1"/>
  <c r="P31" i="1"/>
  <c r="P30" i="1"/>
  <c r="P28" i="1"/>
  <c r="P27" i="1"/>
  <c r="P25" i="1"/>
  <c r="P24" i="1"/>
  <c r="P22" i="1"/>
  <c r="P19" i="1"/>
  <c r="P18" i="1"/>
  <c r="P13" i="1"/>
  <c r="P12" i="1"/>
  <c r="P10" i="1"/>
  <c r="P9" i="1"/>
  <c r="P7" i="1"/>
  <c r="P6" i="1"/>
  <c r="P4" i="1"/>
  <c r="P3" i="1"/>
  <c r="D94" i="1"/>
  <c r="D93" i="1"/>
  <c r="D92" i="1"/>
  <c r="D91" i="1"/>
  <c r="D90" i="1"/>
  <c r="D89" i="1"/>
  <c r="D88" i="1"/>
  <c r="D79" i="1"/>
  <c r="D75" i="1"/>
  <c r="D73" i="1"/>
  <c r="D72" i="1"/>
  <c r="D70" i="1"/>
  <c r="D69" i="1"/>
  <c r="D59" i="1"/>
  <c r="D58" i="1"/>
  <c r="D55" i="1"/>
  <c r="D54" i="1"/>
  <c r="D52" i="1"/>
  <c r="D51" i="1"/>
  <c r="D49" i="1"/>
  <c r="D48" i="1"/>
  <c r="D42" i="1"/>
  <c r="D38" i="1"/>
  <c r="D37" i="1"/>
  <c r="D35" i="1"/>
  <c r="D34" i="1"/>
  <c r="D31" i="1"/>
  <c r="D30" i="1"/>
  <c r="D28" i="1"/>
  <c r="D27" i="1"/>
  <c r="D25" i="1"/>
  <c r="D24" i="1"/>
  <c r="D22" i="1"/>
  <c r="D19" i="1"/>
  <c r="D18" i="1"/>
  <c r="D13" i="1"/>
  <c r="D12" i="1"/>
  <c r="D10" i="1"/>
  <c r="D9" i="1"/>
  <c r="D7" i="1"/>
  <c r="D6" i="1"/>
  <c r="D4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tc={667E4A37-89FC-4B6E-B3D1-92EA6BC08C00}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update with new numbers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58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59" authorId="14" shapeId="0" xr:uid="{667E4A37-89FC-4B6E-B3D1-92EA6BC08C00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used</t>
      </text>
    </comment>
    <comment ref="A73" authorId="15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79" authorId="16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1" authorId="17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<sst xmlns="http://schemas.openxmlformats.org/spreadsheetml/2006/main" count="160" uniqueCount="44">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</sst>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Will need to update with new numbers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58" dT="2026-07-21T19:50:00.59" personId="{114E4FE4-B7B1-4FA3-A72A-3A97E9B9C3CF}" id="{B12FED98-6BE9-4BE2-A887-4CF314FA442B}">
    <text>Wrong baseline power was used</text>
  </threadedComment>
  <threadedComment ref="A59" dT="2026-07-21T19:50:19.49" personId="{114E4FE4-B7B1-4FA3-A72A-3A97E9B9C3CF}" id="{667E4A37-89FC-4B6E-B3D1-92EA6BC08C00}">
    <text>Wrong baseline power used</text>
  </threadedComment>
  <threadedComment ref="A73" dT="2026-07-21T19:23:55.41" personId="{114E4FE4-B7B1-4FA3-A72A-3A97E9B9C3CF}" id="{4644E393-F522-4E79-88BA-041770B595A7}">
    <text>Pretty sure this solution is wrong, but I don’t think I need this case for the paper</text>
  </threadedComment>
  <threadedComment ref="A7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4"/>
  <sheetViews>
    <sheetView tabSelected="1" topLeftCell="A43" zoomScale="110" zoomScaleNormal="110" workbookViewId="0">
      <selection activeCell="D53" sqref="D53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s="2"/>
      <c r="B32" s="2"/>
      <c r="S32" s="2"/>
    </row>
    <row r="33" spans="1:22" x14ac:dyDescent="0.4">
      <c r="A33" s="7" t="s">
        <v>38</v>
      </c>
      <c r="B33" s="2"/>
      <c r="S33" s="2"/>
    </row>
    <row r="34" spans="1:22" x14ac:dyDescent="0.4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4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4">
      <c r="A36" s="7"/>
      <c r="B36" s="2"/>
      <c r="S36" s="2"/>
    </row>
    <row r="37" spans="1:22" x14ac:dyDescent="0.4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8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4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4">
      <c r="A39" s="3"/>
    </row>
    <row r="40" spans="1:22" x14ac:dyDescent="0.4">
      <c r="A40" s="7" t="s">
        <v>41</v>
      </c>
    </row>
    <row r="41" spans="1:22" x14ac:dyDescent="0.4">
      <c r="A41" s="3" t="s">
        <v>20</v>
      </c>
    </row>
    <row r="42" spans="1:22" x14ac:dyDescent="0.4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4">
      <c r="A43" s="3"/>
    </row>
    <row r="44" spans="1:22" x14ac:dyDescent="0.4">
      <c r="A44" s="3" t="s">
        <v>20</v>
      </c>
    </row>
    <row r="45" spans="1:22" x14ac:dyDescent="0.4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4">
      <c r="A47" s="1" t="s">
        <v>27</v>
      </c>
      <c r="G47" s="4"/>
    </row>
    <row r="48" spans="1:22" x14ac:dyDescent="0.4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2" x14ac:dyDescent="0.4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2" x14ac:dyDescent="0.4">
      <c r="A50" s="3"/>
      <c r="G50" s="4"/>
    </row>
    <row r="51" spans="1:22" x14ac:dyDescent="0.4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2" x14ac:dyDescent="0.4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2" x14ac:dyDescent="0.4">
      <c r="G53" s="4"/>
    </row>
    <row r="54" spans="1:22" x14ac:dyDescent="0.4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2" x14ac:dyDescent="0.4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2" x14ac:dyDescent="0.4">
      <c r="A57" s="1" t="s">
        <v>30</v>
      </c>
      <c r="G57" s="4"/>
    </row>
    <row r="58" spans="1:22" x14ac:dyDescent="0.4">
      <c r="A58" s="2" t="s">
        <v>22</v>
      </c>
      <c r="B58" s="2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:P59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2" x14ac:dyDescent="0.4">
      <c r="A59" s="2" t="s">
        <v>22</v>
      </c>
      <c r="B59" s="2" t="s">
        <v>25</v>
      </c>
      <c r="C59">
        <v>4</v>
      </c>
      <c r="D59">
        <f>J59+K59+L59+M59+N59</f>
        <v>120582.97527837555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v>10620</v>
      </c>
      <c r="P59">
        <f t="shared" si="10"/>
        <v>241142.64709737207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2" x14ac:dyDescent="0.4">
      <c r="G60" s="4"/>
    </row>
    <row r="61" spans="1:22" x14ac:dyDescent="0.4">
      <c r="A61" s="1" t="s">
        <v>42</v>
      </c>
      <c r="G61" s="4"/>
    </row>
    <row r="62" spans="1:22" x14ac:dyDescent="0.4">
      <c r="A62" s="3" t="s">
        <v>20</v>
      </c>
      <c r="B62" s="3" t="s">
        <v>23</v>
      </c>
      <c r="C62" s="3">
        <v>0</v>
      </c>
      <c r="G62" s="4"/>
    </row>
    <row r="63" spans="1:22" x14ac:dyDescent="0.4">
      <c r="A63" t="s">
        <v>22</v>
      </c>
      <c r="B63" t="s">
        <v>23</v>
      </c>
      <c r="C63">
        <v>0</v>
      </c>
      <c r="D63">
        <f>J63+K63+L63+M63+N63</f>
        <v>125092.66169779528</v>
      </c>
      <c r="E63">
        <v>282190.859999999</v>
      </c>
      <c r="F63">
        <v>0.87440267535043703</v>
      </c>
      <c r="G63">
        <v>24203.5781618162</v>
      </c>
      <c r="H63">
        <v>4932.7402012145303</v>
      </c>
      <c r="I63">
        <v>9098.6050451690407</v>
      </c>
      <c r="J63">
        <v>38234.9234081998</v>
      </c>
      <c r="K63">
        <v>50845.200000000099</v>
      </c>
      <c r="L63">
        <v>15304.405199999899</v>
      </c>
      <c r="M63">
        <v>19298.29566</v>
      </c>
      <c r="N63">
        <v>1409.83742959549</v>
      </c>
      <c r="O63">
        <v>-1513.63614835872</v>
      </c>
      <c r="P63">
        <f t="shared" ref="P63" si="11">D63+$P$1</f>
        <v>245652.33351679181</v>
      </c>
      <c r="Q63">
        <v>1102.09632181082</v>
      </c>
      <c r="R63">
        <v>0</v>
      </c>
      <c r="U63">
        <v>16.182064218907001</v>
      </c>
      <c r="V63">
        <v>9.63218108268276E-2</v>
      </c>
    </row>
    <row r="64" spans="1:22" x14ac:dyDescent="0.4">
      <c r="A64" s="3"/>
      <c r="B64" s="3"/>
      <c r="C64" s="3"/>
      <c r="G64" s="4"/>
    </row>
    <row r="65" spans="1:22" x14ac:dyDescent="0.4">
      <c r="A65" s="3" t="s">
        <v>20</v>
      </c>
      <c r="B65" s="3" t="s">
        <v>21</v>
      </c>
      <c r="C65" s="3">
        <v>4</v>
      </c>
      <c r="G65" s="4"/>
    </row>
    <row r="66" spans="1:22" x14ac:dyDescent="0.4">
      <c r="A66" s="3" t="s">
        <v>22</v>
      </c>
      <c r="B66" s="3" t="s">
        <v>21</v>
      </c>
      <c r="C66" s="3">
        <v>4</v>
      </c>
    </row>
    <row r="67" spans="1:22" x14ac:dyDescent="0.4">
      <c r="A67" s="5"/>
      <c r="B67" s="5"/>
    </row>
    <row r="68" spans="1:22" x14ac:dyDescent="0.4">
      <c r="A68" s="1" t="s">
        <v>31</v>
      </c>
    </row>
    <row r="69" spans="1:22" x14ac:dyDescent="0.4">
      <c r="A69" s="3" t="s">
        <v>20</v>
      </c>
      <c r="B69" s="3" t="s">
        <v>23</v>
      </c>
      <c r="C69">
        <v>0</v>
      </c>
      <c r="D69">
        <f>J69+K69+L69+M69+N69</f>
        <v>116023.2890300647</v>
      </c>
      <c r="E69">
        <v>282179.67123287602</v>
      </c>
      <c r="F69">
        <v>0.83841249022441</v>
      </c>
      <c r="G69">
        <v>20114.092712805999</v>
      </c>
      <c r="H69">
        <v>6942.2846600808298</v>
      </c>
      <c r="I69">
        <v>2530.0880681377598</v>
      </c>
      <c r="J69">
        <v>29586.4654410246</v>
      </c>
      <c r="K69">
        <v>50843.184005923598</v>
      </c>
      <c r="L69">
        <v>15303.798385783</v>
      </c>
      <c r="M69">
        <v>19297.5304894482</v>
      </c>
      <c r="N69">
        <v>992.31070788530405</v>
      </c>
      <c r="O69">
        <v>0</v>
      </c>
      <c r="P69">
        <f t="shared" ref="P69:P70" si="12">D69+$P$1</f>
        <v>236582.9608490612</v>
      </c>
      <c r="Q69">
        <v>1101.8347602124099</v>
      </c>
      <c r="R69">
        <v>0</v>
      </c>
      <c r="S69">
        <v>0</v>
      </c>
      <c r="T69">
        <v>0</v>
      </c>
    </row>
    <row r="70" spans="1:22" x14ac:dyDescent="0.4">
      <c r="A70" s="3" t="s">
        <v>22</v>
      </c>
      <c r="B70" s="3" t="s">
        <v>23</v>
      </c>
      <c r="C70">
        <v>0</v>
      </c>
      <c r="D70">
        <f>J70+K70+L70+M70+N70</f>
        <v>125763.55741733511</v>
      </c>
      <c r="E70">
        <v>282179.67125180899</v>
      </c>
      <c r="F70">
        <v>0.87293045648394496</v>
      </c>
      <c r="G70">
        <v>22626.697961956499</v>
      </c>
      <c r="H70">
        <v>7102.5767129513297</v>
      </c>
      <c r="I70">
        <v>9597.4591384874802</v>
      </c>
      <c r="J70">
        <v>39326.733813395302</v>
      </c>
      <c r="K70">
        <v>50843.184011688398</v>
      </c>
      <c r="L70">
        <v>15303.798393134501</v>
      </c>
      <c r="M70">
        <v>19297.530491231599</v>
      </c>
      <c r="N70">
        <v>992.31070788530405</v>
      </c>
      <c r="O70">
        <v>0</v>
      </c>
      <c r="P70">
        <f t="shared" si="12"/>
        <v>246323.22923633162</v>
      </c>
      <c r="Q70">
        <v>1127.27501714903</v>
      </c>
      <c r="R70">
        <v>0</v>
      </c>
      <c r="S70">
        <v>0</v>
      </c>
      <c r="T70">
        <v>0</v>
      </c>
    </row>
    <row r="71" spans="1:22" x14ac:dyDescent="0.4">
      <c r="A71" s="1"/>
    </row>
    <row r="72" spans="1:22" x14ac:dyDescent="0.4">
      <c r="A72" t="s">
        <v>20</v>
      </c>
      <c r="B72" t="s">
        <v>21</v>
      </c>
      <c r="C72">
        <v>2</v>
      </c>
      <c r="D72">
        <f>J72+K72+L72+M72+N72</f>
        <v>116706.4157905087</v>
      </c>
      <c r="E72">
        <v>282179.67125387199</v>
      </c>
      <c r="F72">
        <v>0.840833383054163</v>
      </c>
      <c r="G72" s="4">
        <v>20578.507216446698</v>
      </c>
      <c r="H72">
        <v>7102.57515066207</v>
      </c>
      <c r="I72">
        <v>2588.5052959285099</v>
      </c>
      <c r="J72">
        <v>30269.587663037299</v>
      </c>
      <c r="K72">
        <v>50843.185173268597</v>
      </c>
      <c r="L72">
        <v>15303.8015139941</v>
      </c>
      <c r="M72">
        <v>19297.530732323401</v>
      </c>
      <c r="N72">
        <v>992.31070788530405</v>
      </c>
      <c r="O72">
        <v>0</v>
      </c>
      <c r="P72">
        <f t="shared" ref="P72:P73" si="13">D72+$P$1</f>
        <v>237266.08760950522</v>
      </c>
      <c r="Q72">
        <v>1127.2750356983099</v>
      </c>
      <c r="R72">
        <v>0</v>
      </c>
    </row>
    <row r="73" spans="1:22" x14ac:dyDescent="0.4">
      <c r="A73" s="2" t="s">
        <v>22</v>
      </c>
      <c r="B73" s="2" t="s">
        <v>21</v>
      </c>
      <c r="C73">
        <v>2</v>
      </c>
      <c r="D73">
        <f>J73+K73+L73+M73+N73</f>
        <v>121633.35860365373</v>
      </c>
      <c r="E73">
        <v>282179.67123287602</v>
      </c>
      <c r="F73">
        <v>0.85824890324911396</v>
      </c>
      <c r="G73" s="4">
        <v>20824.7129679639</v>
      </c>
      <c r="H73">
        <v>7456.39074483072</v>
      </c>
      <c r="I73">
        <v>5114.4587365303096</v>
      </c>
      <c r="J73">
        <v>33395.562449324898</v>
      </c>
      <c r="K73">
        <v>51302.320205525801</v>
      </c>
      <c r="L73">
        <v>16537.7269222135</v>
      </c>
      <c r="M73">
        <v>19392.801250865799</v>
      </c>
      <c r="N73">
        <v>1004.9477757237401</v>
      </c>
      <c r="O73">
        <v>0</v>
      </c>
      <c r="P73">
        <f t="shared" si="13"/>
        <v>242193.03042265025</v>
      </c>
      <c r="Q73">
        <v>1183.4303612998101</v>
      </c>
      <c r="R73">
        <v>15931.1957490451</v>
      </c>
      <c r="S73">
        <v>346.33034237054602</v>
      </c>
      <c r="T73">
        <v>1.0959871186973</v>
      </c>
    </row>
    <row r="75" spans="1:22" x14ac:dyDescent="0.4">
      <c r="A75" t="s">
        <v>20</v>
      </c>
      <c r="B75" t="s">
        <v>21</v>
      </c>
      <c r="C75">
        <v>4</v>
      </c>
      <c r="D75">
        <f>J75+K75+L75+M75+N75</f>
        <v>116706.4157905051</v>
      </c>
      <c r="E75">
        <v>282179.671253876</v>
      </c>
      <c r="F75">
        <v>0.84083338305413902</v>
      </c>
      <c r="G75" s="4">
        <v>20578.5072164468</v>
      </c>
      <c r="H75">
        <v>7102.5751506616798</v>
      </c>
      <c r="I75">
        <v>2588.50529592865</v>
      </c>
      <c r="J75">
        <v>30269.587663037099</v>
      </c>
      <c r="K75">
        <v>50843.185173268197</v>
      </c>
      <c r="L75">
        <v>15303.8015139912</v>
      </c>
      <c r="M75">
        <v>19297.530732323299</v>
      </c>
      <c r="N75">
        <v>992.31070788530405</v>
      </c>
      <c r="O75">
        <v>0</v>
      </c>
      <c r="P75">
        <f t="shared" ref="P75:P76" si="14">D75+$P$1</f>
        <v>237266.08760950161</v>
      </c>
      <c r="Q75">
        <v>1127.2750356983499</v>
      </c>
      <c r="R75">
        <v>0</v>
      </c>
    </row>
    <row r="76" spans="1:22" x14ac:dyDescent="0.4">
      <c r="A76" t="s">
        <v>22</v>
      </c>
      <c r="B76" t="s">
        <v>21</v>
      </c>
      <c r="C76">
        <v>4</v>
      </c>
      <c r="D76">
        <f>J76+K76+L76+M76+N76</f>
        <v>121744.79706913032</v>
      </c>
      <c r="E76">
        <v>282179.88376308198</v>
      </c>
      <c r="F76">
        <v>0.85713546401894802</v>
      </c>
      <c r="G76">
        <v>21291.5607898614</v>
      </c>
      <c r="H76">
        <v>7432.3603175362596</v>
      </c>
      <c r="I76">
        <v>5035.2758648834497</v>
      </c>
      <c r="J76">
        <v>33759.196972281097</v>
      </c>
      <c r="K76">
        <v>51128.3645002267</v>
      </c>
      <c r="L76">
        <v>16070.129576240101</v>
      </c>
      <c r="M76">
        <v>19356.7120304526</v>
      </c>
      <c r="N76">
        <v>1430.39398992981</v>
      </c>
      <c r="O76">
        <v>0</v>
      </c>
      <c r="P76">
        <f t="shared" si="14"/>
        <v>242304.46888812684</v>
      </c>
      <c r="Q76">
        <v>1179.61640190856</v>
      </c>
      <c r="R76">
        <v>13411.4010346792</v>
      </c>
      <c r="S76">
        <v>478.97860838140201</v>
      </c>
      <c r="T76">
        <v>0.22564405635506199</v>
      </c>
      <c r="U76">
        <v>10550.3210016294</v>
      </c>
      <c r="V76">
        <v>75.359435725924598</v>
      </c>
    </row>
    <row r="78" spans="1:22" x14ac:dyDescent="0.4">
      <c r="A78" s="1" t="s">
        <v>34</v>
      </c>
      <c r="G78" s="4"/>
    </row>
    <row r="79" spans="1:22" x14ac:dyDescent="0.4">
      <c r="A79" t="s">
        <v>22</v>
      </c>
      <c r="B79" t="s">
        <v>21</v>
      </c>
      <c r="C79">
        <v>4</v>
      </c>
      <c r="D79">
        <f>J79+K79+L79+M79+N79</f>
        <v>147118.48206815872</v>
      </c>
      <c r="E79">
        <v>355610.364944759</v>
      </c>
      <c r="F79">
        <v>0.75267772890587503</v>
      </c>
      <c r="G79">
        <v>25765.651662743599</v>
      </c>
      <c r="H79">
        <v>7150.9042815892099</v>
      </c>
      <c r="I79">
        <v>5144.3184852884797</v>
      </c>
      <c r="J79">
        <v>38060.874429621297</v>
      </c>
      <c r="K79">
        <v>64168.339029134899</v>
      </c>
      <c r="L79">
        <v>19539.954214541001</v>
      </c>
      <c r="M79">
        <v>24338.851661831999</v>
      </c>
      <c r="N79">
        <v>1010.46273302954</v>
      </c>
      <c r="O79">
        <v>0</v>
      </c>
      <c r="P79">
        <f t="shared" ref="P79" si="15">D79+$P$1</f>
        <v>267678.15388715523</v>
      </c>
      <c r="Q79">
        <v>1597.68911089628</v>
      </c>
      <c r="R79">
        <v>13084.0423994256</v>
      </c>
      <c r="S79">
        <v>467.28722855091399</v>
      </c>
      <c r="T79">
        <v>-0.25904927491985202</v>
      </c>
    </row>
    <row r="80" spans="1:22" x14ac:dyDescent="0.4">
      <c r="A80" t="s">
        <v>22</v>
      </c>
      <c r="B80" t="s">
        <v>35</v>
      </c>
      <c r="C80" t="s">
        <v>35</v>
      </c>
      <c r="D80" t="s">
        <v>36</v>
      </c>
      <c r="E80" t="s">
        <v>36</v>
      </c>
      <c r="F80" t="s">
        <v>36</v>
      </c>
      <c r="G80" s="4">
        <v>28838</v>
      </c>
      <c r="H80">
        <v>7567.5</v>
      </c>
      <c r="I80">
        <v>13764.1</v>
      </c>
      <c r="J80">
        <v>50169.7</v>
      </c>
      <c r="K80" t="s">
        <v>36</v>
      </c>
      <c r="L80" t="s">
        <v>36</v>
      </c>
      <c r="M80" t="s">
        <v>36</v>
      </c>
      <c r="N80" t="s">
        <v>36</v>
      </c>
    </row>
    <row r="82" spans="1:20" hidden="1" x14ac:dyDescent="0.4">
      <c r="A82" s="1" t="s">
        <v>26</v>
      </c>
      <c r="G82" s="4"/>
      <c r="P82" t="s">
        <v>15</v>
      </c>
      <c r="Q82" t="s">
        <v>16</v>
      </c>
      <c r="R82" t="s">
        <v>17</v>
      </c>
      <c r="S82" t="s">
        <v>18</v>
      </c>
      <c r="T82" t="s">
        <v>19</v>
      </c>
    </row>
    <row r="83" spans="1:20" hidden="1" x14ac:dyDescent="0.4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s="4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>
        <v>63734.6679</v>
      </c>
      <c r="Q83">
        <v>1078.4492829999999</v>
      </c>
      <c r="R83">
        <v>624.70352849999995</v>
      </c>
      <c r="S83">
        <v>13.014656840000001</v>
      </c>
      <c r="T83">
        <v>27.514184579999998</v>
      </c>
    </row>
    <row r="84" spans="1:20" hidden="1" x14ac:dyDescent="0.4">
      <c r="A84" s="2" t="s">
        <v>20</v>
      </c>
      <c r="B84" t="s">
        <v>21</v>
      </c>
      <c r="C84">
        <v>4</v>
      </c>
      <c r="D84">
        <v>29525.427309999999</v>
      </c>
      <c r="E84">
        <v>80391.755990000005</v>
      </c>
      <c r="F84">
        <v>0.79280104200000001</v>
      </c>
      <c r="G84" s="4">
        <v>5050.6365619999997</v>
      </c>
      <c r="H84">
        <v>4678.3390820000004</v>
      </c>
      <c r="I84">
        <v>2508.6600360000002</v>
      </c>
      <c r="J84">
        <v>12237.635679999999</v>
      </c>
      <c r="K84">
        <v>13920</v>
      </c>
      <c r="L84">
        <v>2841.544922</v>
      </c>
      <c r="M84">
        <v>5380.5444360000001</v>
      </c>
      <c r="N84">
        <v>279.27307350000001</v>
      </c>
      <c r="O84">
        <v>0</v>
      </c>
      <c r="P84">
        <v>64865.028310000002</v>
      </c>
      <c r="Q84">
        <v>1191.7509680000001</v>
      </c>
      <c r="R84">
        <v>7243.7162129999997</v>
      </c>
      <c r="S84">
        <v>452.7322633</v>
      </c>
      <c r="T84">
        <v>5.8154128590000003</v>
      </c>
    </row>
    <row r="85" spans="1:20" x14ac:dyDescent="0.4">
      <c r="A85" s="7" t="s">
        <v>37</v>
      </c>
    </row>
    <row r="87" spans="1:20" x14ac:dyDescent="0.4">
      <c r="A87" t="s">
        <v>32</v>
      </c>
      <c r="B87" t="s">
        <v>33</v>
      </c>
      <c r="C87" t="s">
        <v>2</v>
      </c>
    </row>
    <row r="88" spans="1:20" x14ac:dyDescent="0.4">
      <c r="A88">
        <v>20</v>
      </c>
      <c r="B88">
        <v>60</v>
      </c>
      <c r="C88">
        <v>2</v>
      </c>
      <c r="D88">
        <f t="shared" ref="D88:D94" si="16">J88+K88+L88+M88+N88</f>
        <v>120712.69088313227</v>
      </c>
      <c r="E88">
        <v>282179.67123285501</v>
      </c>
      <c r="F88">
        <v>0.854946898908852</v>
      </c>
      <c r="G88">
        <v>18681.222424938602</v>
      </c>
      <c r="H88">
        <v>5354.6114985546601</v>
      </c>
      <c r="I88">
        <v>8156.08309050551</v>
      </c>
      <c r="J88">
        <v>32191.917013998798</v>
      </c>
      <c r="K88">
        <v>51372.124296964801</v>
      </c>
      <c r="L88">
        <v>16725.325417965501</v>
      </c>
      <c r="M88">
        <v>19407.285599838699</v>
      </c>
      <c r="N88">
        <v>1016.03855436447</v>
      </c>
      <c r="O88">
        <v>0</v>
      </c>
      <c r="P88">
        <f t="shared" ref="P88:P94" si="17">D88+$P$1</f>
        <v>241272.36270212877</v>
      </c>
      <c r="Q88">
        <v>1192.7637589594799</v>
      </c>
      <c r="R88">
        <v>19736.206339365101</v>
      </c>
      <c r="S88">
        <v>481.37088632597801</v>
      </c>
      <c r="T88" s="6">
        <v>0.12591688076390301</v>
      </c>
    </row>
    <row r="89" spans="1:20" x14ac:dyDescent="0.4">
      <c r="A89">
        <v>20</v>
      </c>
      <c r="B89">
        <v>50</v>
      </c>
      <c r="C89">
        <v>2</v>
      </c>
      <c r="D89">
        <f t="shared" si="16"/>
        <v>119392.42354269064</v>
      </c>
      <c r="E89">
        <v>282254.81855225202</v>
      </c>
      <c r="F89">
        <v>0.85006146065890897</v>
      </c>
      <c r="G89">
        <v>19407.840072768398</v>
      </c>
      <c r="H89">
        <v>5891.8301217549197</v>
      </c>
      <c r="I89">
        <v>6659.4942697455399</v>
      </c>
      <c r="J89">
        <v>31959.164464268899</v>
      </c>
      <c r="K89">
        <v>51102.045942938203</v>
      </c>
      <c r="L89">
        <v>15967.176494174801</v>
      </c>
      <c r="M89">
        <v>19353.573908279199</v>
      </c>
      <c r="N89">
        <v>1010.46273302954</v>
      </c>
      <c r="O89">
        <v>0</v>
      </c>
      <c r="P89">
        <f t="shared" si="17"/>
        <v>239952.09536168716</v>
      </c>
      <c r="Q89">
        <v>1312.43161993582</v>
      </c>
      <c r="R89">
        <v>18377.616631847999</v>
      </c>
      <c r="S89">
        <v>459.4404157962</v>
      </c>
      <c r="T89" s="6">
        <v>0.14758705239613301</v>
      </c>
    </row>
    <row r="90" spans="1:20" x14ac:dyDescent="0.4">
      <c r="A90">
        <v>20</v>
      </c>
      <c r="B90">
        <v>40</v>
      </c>
      <c r="C90">
        <v>2</v>
      </c>
      <c r="D90">
        <f t="shared" si="16"/>
        <v>117777.02945340994</v>
      </c>
      <c r="E90">
        <v>282179.67123287299</v>
      </c>
      <c r="F90">
        <v>0.84456314023622803</v>
      </c>
      <c r="G90">
        <v>19298.245593088301</v>
      </c>
      <c r="H90">
        <v>5682.0016560700296</v>
      </c>
      <c r="I90">
        <v>5350.3346939491703</v>
      </c>
      <c r="J90">
        <v>30330.5819431075</v>
      </c>
      <c r="K90">
        <v>51097.733915068202</v>
      </c>
      <c r="L90">
        <v>15987.901266609</v>
      </c>
      <c r="M90">
        <v>19350.349595595701</v>
      </c>
      <c r="N90">
        <v>1010.46273302954</v>
      </c>
      <c r="O90">
        <v>0</v>
      </c>
      <c r="P90">
        <f t="shared" si="17"/>
        <v>238336.70127240644</v>
      </c>
      <c r="Q90">
        <v>1265.6913868611</v>
      </c>
      <c r="R90">
        <v>17746.163883660702</v>
      </c>
      <c r="S90">
        <v>507.03325381887902</v>
      </c>
      <c r="T90" s="6">
        <v>-0.25983751983286502</v>
      </c>
    </row>
    <row r="91" spans="1:20" x14ac:dyDescent="0.4">
      <c r="A91">
        <v>20</v>
      </c>
      <c r="B91">
        <v>30</v>
      </c>
      <c r="C91">
        <v>2</v>
      </c>
      <c r="D91">
        <f t="shared" si="16"/>
        <v>116625.1695160947</v>
      </c>
      <c r="E91">
        <v>282182.50548365602</v>
      </c>
      <c r="F91">
        <v>0.84045954058697003</v>
      </c>
      <c r="G91">
        <v>19302.752565837702</v>
      </c>
      <c r="H91">
        <v>6226.5181629292701</v>
      </c>
      <c r="I91">
        <v>3974.5318253822402</v>
      </c>
      <c r="J91">
        <v>29503.802554149199</v>
      </c>
      <c r="K91">
        <v>51013.610661725899</v>
      </c>
      <c r="L91">
        <v>15760.601295416</v>
      </c>
      <c r="M91">
        <v>19332.981882301501</v>
      </c>
      <c r="N91">
        <v>1014.17312250211</v>
      </c>
      <c r="O91">
        <v>0</v>
      </c>
      <c r="P91">
        <f t="shared" si="17"/>
        <v>237184.84133509122</v>
      </c>
      <c r="Q91">
        <v>1386.9848841974899</v>
      </c>
      <c r="R91">
        <v>18436.445202769701</v>
      </c>
      <c r="S91">
        <v>209.50505912238299</v>
      </c>
      <c r="T91" s="6">
        <v>0.28049716262959101</v>
      </c>
    </row>
    <row r="92" spans="1:20" x14ac:dyDescent="0.4">
      <c r="A92" s="3">
        <v>20</v>
      </c>
      <c r="B92" s="3">
        <v>20</v>
      </c>
      <c r="C92" s="3">
        <v>2</v>
      </c>
      <c r="D92">
        <f t="shared" si="16"/>
        <v>115198.459983006</v>
      </c>
      <c r="E92">
        <v>282179.67123297497</v>
      </c>
      <c r="F92">
        <v>0.83541194997266699</v>
      </c>
      <c r="G92">
        <v>19351.2255529412</v>
      </c>
      <c r="H92">
        <v>6002.0469674603501</v>
      </c>
      <c r="I92">
        <v>2645.4376652921501</v>
      </c>
      <c r="J92">
        <v>27998.710185693701</v>
      </c>
      <c r="K92">
        <v>51033.4442867088</v>
      </c>
      <c r="L92">
        <v>15815.1228903871</v>
      </c>
      <c r="M92">
        <v>19337.009497714302</v>
      </c>
      <c r="N92">
        <v>1014.17312250211</v>
      </c>
      <c r="O92">
        <v>0</v>
      </c>
      <c r="P92">
        <f t="shared" si="17"/>
        <v>235758.13180200252</v>
      </c>
      <c r="Q92">
        <v>1336.98290493166</v>
      </c>
      <c r="R92">
        <v>18577.307877855899</v>
      </c>
      <c r="S92">
        <v>432.030415764091</v>
      </c>
      <c r="T92" s="6">
        <v>-0.122490141098651</v>
      </c>
    </row>
    <row r="93" spans="1:20" x14ac:dyDescent="0.4">
      <c r="A93">
        <v>20</v>
      </c>
      <c r="B93">
        <v>15</v>
      </c>
      <c r="C93">
        <v>2</v>
      </c>
      <c r="D93">
        <f t="shared" si="16"/>
        <v>114451.25872361983</v>
      </c>
      <c r="E93">
        <v>282179.67123267101</v>
      </c>
      <c r="F93">
        <v>0.83277713625127903</v>
      </c>
      <c r="G93">
        <v>19390.977969205</v>
      </c>
      <c r="H93">
        <v>5599.5405456203798</v>
      </c>
      <c r="I93">
        <v>2128.1287863747102</v>
      </c>
      <c r="J93">
        <v>27118.647301200101</v>
      </c>
      <c r="K93">
        <v>51068.507704320902</v>
      </c>
      <c r="L93">
        <v>15909.3558282099</v>
      </c>
      <c r="M93">
        <v>19344.285156859401</v>
      </c>
      <c r="N93">
        <v>1010.46273302954</v>
      </c>
      <c r="O93">
        <v>0</v>
      </c>
      <c r="P93">
        <f t="shared" si="17"/>
        <v>235010.93054261635</v>
      </c>
      <c r="Q93">
        <v>1247.3228025527501</v>
      </c>
      <c r="R93">
        <v>16417.502561416801</v>
      </c>
      <c r="S93">
        <v>469.07150175476602</v>
      </c>
      <c r="T93" s="6">
        <v>0.46004655114715598</v>
      </c>
    </row>
    <row r="94" spans="1:20" x14ac:dyDescent="0.4">
      <c r="A94">
        <v>20</v>
      </c>
      <c r="B94">
        <v>12</v>
      </c>
      <c r="C94">
        <v>2</v>
      </c>
      <c r="D94">
        <f t="shared" si="16"/>
        <v>114787.7594081375</v>
      </c>
      <c r="E94">
        <v>282179.67123287602</v>
      </c>
      <c r="F94">
        <v>0.83403396920434802</v>
      </c>
      <c r="G94">
        <v>20436.472361711199</v>
      </c>
      <c r="H94">
        <v>4946.5396722567002</v>
      </c>
      <c r="I94">
        <v>2967.9237851293901</v>
      </c>
      <c r="J94">
        <v>28350.9358190973</v>
      </c>
      <c r="K94">
        <v>50843.184005923598</v>
      </c>
      <c r="L94">
        <v>15303.798385783</v>
      </c>
      <c r="M94">
        <v>19297.530489448302</v>
      </c>
      <c r="N94">
        <v>992.31070788530405</v>
      </c>
      <c r="O94">
        <v>0</v>
      </c>
      <c r="P94">
        <f t="shared" si="17"/>
        <v>235347.43122713402</v>
      </c>
      <c r="Q94">
        <v>1101.8639118583401</v>
      </c>
      <c r="R94">
        <v>13.380488321454299</v>
      </c>
      <c r="S94">
        <v>2.67609766429086</v>
      </c>
      <c r="T94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2026-07-21T20:04:36Z</dcterms:modified>
</cp:coreProperties>
</file>