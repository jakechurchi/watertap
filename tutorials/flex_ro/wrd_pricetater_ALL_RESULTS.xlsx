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3E20BBE6-975C-4056-87A6-9DD93EF0E7E8}" xr6:coauthVersionLast="47" xr6:coauthVersionMax="47" xr10:uidLastSave="{00000000-0000-0000-0000-000000000000}"/>
  <bookViews>
    <workbookView xWindow="9510" yWindow="0" windowWidth="9780" windowHeight="10170" activeTab="2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8" i="3" l="1"/>
  <c r="Z18" i="3"/>
  <c r="Z5" i="3"/>
  <c r="Z13" i="3"/>
  <c r="Z17" i="3"/>
  <c r="AA17" i="3" s="1"/>
  <c r="G17" i="3"/>
  <c r="S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G9" i="3" l="1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tc={CD9B9187-2B2A-46AC-8788-C7718BA1D062}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W17" authorId="6" shapeId="0" xr:uid="{CD9B9187-2B2A-46AC-8788-C7718BA1D06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</commentList>
</comments>
</file>

<file path=xl/sharedStrings.xml><?xml version="1.0" encoding="utf-8"?>
<sst xmlns="http://schemas.openxmlformats.org/spreadsheetml/2006/main" count="349" uniqueCount="103">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</sst>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W17" dT="2026-06-12T21:26:04.82" personId="{114E4FE4-B7B1-4FA3-A72A-3A97E9B9C3CF}" id="{CD9B9187-2B2A-46AC-8788-C7718BA1D062}">
    <text>Don’t think I trust these metrics. Would have to re-run if we want to provide that number for this rate structure</text>
  </threadedComment>
  <threadedComment ref="W17" dT="2026-07-01T19:24:49.07" personId="{114E4FE4-B7B1-4FA3-A72A-3A97E9B9C3CF}" id="{67FDA27F-4BC3-4CAF-AEC3-31D297C583F8}" parentId="{CD9B9187-2B2A-46AC-8788-C7718BA1D062}">
    <text>The baseline costs have to be updated in accordance with the demand structure type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opLeftCell="B33" zoomScale="110" zoomScaleNormal="110" workbookViewId="0">
      <selection activeCell="F56" sqref="F56"/>
    </sheetView>
  </sheetViews>
  <sheetFormatPr defaultRowHeight="14.5" x14ac:dyDescent="0.35"/>
  <cols>
    <col min="1" max="1" width="9.6328125" customWidth="1"/>
    <col min="3" max="3" width="10.81640625" customWidth="1"/>
    <col min="4" max="4" width="9" bestFit="1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 s="10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26" t="s">
        <v>45</v>
      </c>
      <c r="B33" s="26"/>
      <c r="C33" s="26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  <c r="K34" s="10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26" t="s">
        <v>44</v>
      </c>
      <c r="B64" s="26"/>
      <c r="C64" s="26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3"/>
    </row>
    <row r="67" spans="1:22" x14ac:dyDescent="0.35">
      <c r="A67" s="26" t="s">
        <v>60</v>
      </c>
      <c r="B67" s="26"/>
      <c r="C67" s="26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26" t="s">
        <v>61</v>
      </c>
      <c r="B69" s="26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G94" s="4"/>
    </row>
    <row r="95" spans="1:22" x14ac:dyDescent="0.35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35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35">
      <c r="A97" s="2"/>
      <c r="G97" s="4"/>
    </row>
    <row r="99" spans="1:22" x14ac:dyDescent="0.35">
      <c r="A99" s="1" t="s">
        <v>63</v>
      </c>
    </row>
    <row r="100" spans="1:22" x14ac:dyDescent="0.35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35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35">
      <c r="K102">
        <f>SUM(K100:M100)-SUM(K101:M101)</f>
        <v>-750.09243586547382</v>
      </c>
    </row>
    <row r="103" spans="1:22" x14ac:dyDescent="0.35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35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35">
      <c r="K105" s="13">
        <f>SUM(K103:M103)-SUM(K104:M104)</f>
        <v>-831.26776848098962</v>
      </c>
    </row>
    <row r="106" spans="1:22" x14ac:dyDescent="0.35">
      <c r="A106" s="1" t="s">
        <v>65</v>
      </c>
      <c r="K106" s="13"/>
    </row>
    <row r="107" spans="1:22" x14ac:dyDescent="0.35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35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35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35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35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35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35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35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35">
      <c r="A115" s="7" t="s">
        <v>37</v>
      </c>
    </row>
    <row r="116" spans="1:20" x14ac:dyDescent="0.35">
      <c r="A116" t="s">
        <v>32</v>
      </c>
      <c r="B116" t="s">
        <v>33</v>
      </c>
      <c r="C116" t="s">
        <v>2</v>
      </c>
    </row>
    <row r="117" spans="1:20" x14ac:dyDescent="0.35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35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35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35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35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35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35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75" customHeight="1" x14ac:dyDescent="0.35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75" customHeight="1" x14ac:dyDescent="0.35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35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35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35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tabSelected="1" topLeftCell="T7" workbookViewId="0">
      <selection activeCell="Z21" sqref="Z21"/>
    </sheetView>
  </sheetViews>
  <sheetFormatPr defaultRowHeight="14.5" x14ac:dyDescent="0.35"/>
  <cols>
    <col min="1" max="1" width="26.90625" customWidth="1"/>
    <col min="2" max="2" width="14.7265625" customWidth="1"/>
    <col min="3" max="3" width="12.08984375" customWidth="1"/>
    <col min="4" max="4" width="11" customWidth="1"/>
    <col min="5" max="5" width="8.54296875" customWidth="1"/>
    <col min="6" max="6" width="11.36328125" customWidth="1"/>
    <col min="7" max="7" width="15.08984375" customWidth="1"/>
    <col min="8" max="8" width="10.1796875" customWidth="1"/>
    <col min="9" max="9" width="11.36328125" customWidth="1"/>
    <col min="10" max="10" width="15" bestFit="1" customWidth="1"/>
    <col min="11" max="11" width="16.90625" bestFit="1" customWidth="1"/>
    <col min="26" max="26" width="12.7265625" bestFit="1" customWidth="1"/>
    <col min="27" max="27" width="10.7265625" customWidth="1"/>
    <col min="28" max="28" width="13.81640625" customWidth="1"/>
  </cols>
  <sheetData>
    <row r="1" spans="1:28" x14ac:dyDescent="0.35">
      <c r="G1">
        <v>121507.92454383519</v>
      </c>
      <c r="M1">
        <v>34653.411662680403</v>
      </c>
    </row>
    <row r="2" spans="1:28" x14ac:dyDescent="0.35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35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35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35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35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35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35">
      <c r="D8" s="22"/>
      <c r="E8" s="22"/>
      <c r="Q8" s="23"/>
      <c r="AA8" s="24"/>
      <c r="AB8" s="25"/>
    </row>
    <row r="9" spans="1:28" x14ac:dyDescent="0.35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35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35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35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35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35">
      <c r="AA14" s="24"/>
      <c r="AB14" s="25"/>
    </row>
    <row r="15" spans="1:28" x14ac:dyDescent="0.35">
      <c r="A15">
        <v>0</v>
      </c>
      <c r="B15" t="s">
        <v>72</v>
      </c>
      <c r="D15" s="5"/>
      <c r="E15" s="5"/>
    </row>
    <row r="16" spans="1:28" x14ac:dyDescent="0.35">
      <c r="A16">
        <v>0.215</v>
      </c>
      <c r="B16" t="s">
        <v>72</v>
      </c>
      <c r="D16" s="5"/>
      <c r="E16" s="5"/>
    </row>
    <row r="17" spans="1:27" x14ac:dyDescent="0.35">
      <c r="A17">
        <v>0.43</v>
      </c>
      <c r="B17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ref="G17" si="10">M17+N17+O17+P17+Q17-R17</f>
        <v>188012.7674304971</v>
      </c>
      <c r="H17">
        <v>282179.67123287602</v>
      </c>
      <c r="I17">
        <v>1.09353178385</v>
      </c>
      <c r="J17">
        <v>89520.694507565597</v>
      </c>
      <c r="K17">
        <v>6971.3813103080802</v>
      </c>
      <c r="L17">
        <v>5083.8680235841202</v>
      </c>
      <c r="M17">
        <v>101575.943841457</v>
      </c>
      <c r="N17">
        <v>50843.184005923598</v>
      </c>
      <c r="O17">
        <v>15303.798385783</v>
      </c>
      <c r="P17">
        <v>19297.5304894482</v>
      </c>
      <c r="Q17">
        <v>992.31070788530405</v>
      </c>
      <c r="R17">
        <v>0</v>
      </c>
      <c r="S17">
        <f t="shared" ref="S17" si="11">G17+$P$1</f>
        <v>188012.7674304971</v>
      </c>
      <c r="T17">
        <v>1106.4527933521999</v>
      </c>
      <c r="U17">
        <v>3451.9307168288801</v>
      </c>
      <c r="V17">
        <v>20.547206647791</v>
      </c>
      <c r="W17">
        <v>-14.696886263168601</v>
      </c>
      <c r="Z17">
        <f>IF(A17=0,0,C17*931*(A17/0.43))</f>
        <v>4655</v>
      </c>
      <c r="AA17" s="10">
        <f>O17-Z17</f>
        <v>10648.798385783</v>
      </c>
    </row>
    <row r="18" spans="1:27" x14ac:dyDescent="0.35">
      <c r="A18">
        <v>0.86</v>
      </c>
      <c r="B18" t="s">
        <v>72</v>
      </c>
      <c r="C18">
        <v>5</v>
      </c>
      <c r="D18" t="s">
        <v>22</v>
      </c>
      <c r="E18" t="s">
        <v>21</v>
      </c>
      <c r="F18">
        <v>4</v>
      </c>
      <c r="G18">
        <v>127037.185869735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</row>
    <row r="19" spans="1:27" x14ac:dyDescent="0.35">
      <c r="A19">
        <v>1.29</v>
      </c>
      <c r="B19" t="s">
        <v>72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5" x14ac:dyDescent="0.35"/>
  <cols>
    <col min="2" max="2" width="12.6328125" customWidth="1"/>
    <col min="3" max="3" width="9.7265625" customWidth="1"/>
    <col min="4" max="4" width="12.453125" customWidth="1"/>
    <col min="5" max="5" width="14" customWidth="1"/>
    <col min="6" max="6" width="20.90625" bestFit="1" customWidth="1"/>
    <col min="7" max="7" width="12.26953125" customWidth="1"/>
    <col min="8" max="8" width="18.54296875" customWidth="1"/>
    <col min="9" max="9" width="20.1796875" bestFit="1" customWidth="1"/>
    <col min="10" max="10" width="17.08984375" bestFit="1" customWidth="1"/>
    <col min="11" max="11" width="9.36328125" bestFit="1" customWidth="1"/>
    <col min="12" max="12" width="10.26953125" customWidth="1"/>
    <col min="13" max="13" width="9.36328125" bestFit="1" customWidth="1"/>
    <col min="14" max="14" width="12.1796875" customWidth="1"/>
  </cols>
  <sheetData>
    <row r="3" spans="1:16" x14ac:dyDescent="0.35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35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35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35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35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35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35">
      <c r="B9" t="s">
        <v>78</v>
      </c>
      <c r="D9" s="10">
        <v>394716</v>
      </c>
    </row>
    <row r="11" spans="1:16" x14ac:dyDescent="0.35">
      <c r="A11" t="s">
        <v>83</v>
      </c>
    </row>
    <row r="12" spans="1:16" x14ac:dyDescent="0.35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35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35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35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35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35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35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35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35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35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35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2026-09-01T14:43:52Z</dcterms:modified>
</cp:coreProperties>
</file>