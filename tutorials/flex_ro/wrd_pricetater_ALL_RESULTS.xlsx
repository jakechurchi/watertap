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B0A5B651-2BB1-42D9-89F9-4DDB7DF3E311}" xr6:coauthVersionLast="47" xr6:coauthVersionMax="47" xr10:uidLastSave="{00000000-0000-0000-0000-000000000000}"/>
  <bookViews>
    <workbookView xWindow="-19310" yWindow="-11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1" i="1" l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V68" i="1"/>
  <c r="U68" i="1"/>
  <c r="T68" i="1"/>
  <c r="S68" i="1"/>
  <c r="R68" i="1"/>
  <c r="Q68" i="1"/>
  <c r="O68" i="1"/>
  <c r="N68" i="1"/>
  <c r="M68" i="1"/>
  <c r="L68" i="1"/>
  <c r="K68" i="1"/>
  <c r="J68" i="1"/>
  <c r="I68" i="1"/>
  <c r="H68" i="1"/>
  <c r="G68" i="1"/>
  <c r="F68" i="1"/>
  <c r="E68" i="1"/>
  <c r="N78" i="1"/>
  <c r="M78" i="1"/>
  <c r="L78" i="1"/>
  <c r="K78" i="1"/>
  <c r="J78" i="1"/>
  <c r="I78" i="1"/>
  <c r="H78" i="1"/>
  <c r="G78" i="1"/>
  <c r="F78" i="1"/>
  <c r="E78" i="1"/>
  <c r="D64" i="1"/>
  <c r="P64" i="1" s="1"/>
  <c r="P68" i="1" s="1"/>
  <c r="O59" i="1"/>
  <c r="D59" i="1" s="1"/>
  <c r="P59" i="1" s="1"/>
  <c r="D77" i="1"/>
  <c r="P77" i="1" s="1"/>
  <c r="D45" i="1"/>
  <c r="P45" i="1" s="1"/>
  <c r="P22" i="1"/>
  <c r="P18" i="1"/>
  <c r="D95" i="1"/>
  <c r="P95" i="1" s="1"/>
  <c r="D94" i="1"/>
  <c r="P94" i="1" s="1"/>
  <c r="D93" i="1"/>
  <c r="P93" i="1" s="1"/>
  <c r="D92" i="1"/>
  <c r="P92" i="1" s="1"/>
  <c r="D91" i="1"/>
  <c r="P91" i="1" s="1"/>
  <c r="D90" i="1"/>
  <c r="P90" i="1" s="1"/>
  <c r="D89" i="1"/>
  <c r="P89" i="1" s="1"/>
  <c r="D80" i="1"/>
  <c r="P80" i="1" s="1"/>
  <c r="D76" i="1"/>
  <c r="P76" i="1" s="1"/>
  <c r="D74" i="1"/>
  <c r="P74" i="1" s="1"/>
  <c r="D73" i="1"/>
  <c r="P73" i="1" s="1"/>
  <c r="D71" i="1"/>
  <c r="P71" i="1" s="1"/>
  <c r="D70" i="1"/>
  <c r="P70" i="1" s="1"/>
  <c r="D58" i="1"/>
  <c r="P58" i="1" s="1"/>
  <c r="D55" i="1"/>
  <c r="P55" i="1" s="1"/>
  <c r="D54" i="1"/>
  <c r="P54" i="1" s="1"/>
  <c r="D52" i="1"/>
  <c r="P52" i="1" s="1"/>
  <c r="D51" i="1"/>
  <c r="P51" i="1" s="1"/>
  <c r="D49" i="1"/>
  <c r="P49" i="1" s="1"/>
  <c r="D48" i="1"/>
  <c r="P48" i="1" s="1"/>
  <c r="D42" i="1"/>
  <c r="P42" i="1" s="1"/>
  <c r="D38" i="1"/>
  <c r="P38" i="1" s="1"/>
  <c r="D37" i="1"/>
  <c r="P37" i="1" s="1"/>
  <c r="D35" i="1"/>
  <c r="P35" i="1" s="1"/>
  <c r="D34" i="1"/>
  <c r="P34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D19" i="1"/>
  <c r="P19" i="1" s="1"/>
  <c r="D18" i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78" i="1" l="1"/>
  <c r="P78" i="1" s="1"/>
  <c r="D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59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0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7" authorId="16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4" authorId="17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0" authorId="18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2" authorId="19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<sst xmlns="http://schemas.openxmlformats.org/spreadsheetml/2006/main" count="162" uniqueCount="44">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</sst>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59" dT="2026-07-22T19:28:49.80" personId="{114E4FE4-B7B1-4FA3-A72A-3A97E9B9C3CF}" id="{7E28AC63-C308-4B0A-97A5-B41EEB6DBCFB}">
    <text>Old solution where there is only one plant shutdown.</text>
  </threadedComment>
  <threadedComment ref="A60" dT="2026-07-22T19:29:10.19" personId="{114E4FE4-B7B1-4FA3-A72A-3A97E9B9C3CF}" id="{B7EDEAAD-67C9-4693-A0FC-570282E02182}">
    <text>Solution where there is a shutdown for all peak hours</text>
  </threadedComment>
  <threadedComment ref="A60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7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4" dT="2026-07-21T19:23:55.41" personId="{114E4FE4-B7B1-4FA3-A72A-3A97E9B9C3CF}" id="{4644E393-F522-4E79-88BA-041770B595A7}">
    <text>Pretty sure this solution is wrong, but I don’t think I need this case for the paper</text>
  </threadedComment>
  <threadedComment ref="A80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2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5"/>
  <sheetViews>
    <sheetView tabSelected="1" topLeftCell="A54" zoomScale="110" zoomScaleNormal="110" workbookViewId="0">
      <selection activeCell="A60" sqref="A60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s="2"/>
      <c r="B32" s="2"/>
      <c r="S32" s="2"/>
    </row>
    <row r="33" spans="1:22" x14ac:dyDescent="0.35">
      <c r="A33" s="7" t="s">
        <v>38</v>
      </c>
      <c r="B33" s="2"/>
      <c r="S33" s="2"/>
    </row>
    <row r="34" spans="1:22" x14ac:dyDescent="0.35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35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35">
      <c r="A36" s="7"/>
      <c r="B36" s="2"/>
      <c r="S36" s="2"/>
    </row>
    <row r="37" spans="1:22" x14ac:dyDescent="0.35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35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35">
      <c r="A39" s="3"/>
    </row>
    <row r="40" spans="1:22" x14ac:dyDescent="0.35">
      <c r="A40" s="7" t="s">
        <v>41</v>
      </c>
    </row>
    <row r="41" spans="1:22" x14ac:dyDescent="0.35">
      <c r="A41" s="3" t="s">
        <v>20</v>
      </c>
    </row>
    <row r="42" spans="1:22" x14ac:dyDescent="0.35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35">
      <c r="A43" s="3"/>
    </row>
    <row r="44" spans="1:22" x14ac:dyDescent="0.35">
      <c r="A44" s="3" t="s">
        <v>20</v>
      </c>
    </row>
    <row r="45" spans="1:22" x14ac:dyDescent="0.35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35">
      <c r="A47" s="1" t="s">
        <v>27</v>
      </c>
      <c r="G47" s="4"/>
    </row>
    <row r="48" spans="1:22" x14ac:dyDescent="0.35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35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35">
      <c r="A50" s="3"/>
      <c r="G50" s="4"/>
    </row>
    <row r="51" spans="1:22" x14ac:dyDescent="0.35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35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35">
      <c r="G53" s="4"/>
    </row>
    <row r="54" spans="1:22" x14ac:dyDescent="0.35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35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35">
      <c r="A57" s="1" t="s">
        <v>30</v>
      </c>
      <c r="G57" s="4"/>
    </row>
    <row r="58" spans="1:22" x14ac:dyDescent="0.35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35">
      <c r="A59" s="3" t="s">
        <v>22</v>
      </c>
      <c r="B59" s="3" t="s">
        <v>25</v>
      </c>
      <c r="C59">
        <v>4</v>
      </c>
      <c r="D59">
        <f>J59+K59+L59+M59+N59-O59</f>
        <v>109562.97527837555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f>1102*5*2</f>
        <v>11020</v>
      </c>
      <c r="P59">
        <f>D59+$P$1</f>
        <v>230122.64709737207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35">
      <c r="A60" s="3" t="s">
        <v>22</v>
      </c>
      <c r="B60" s="3" t="s">
        <v>21</v>
      </c>
      <c r="C60">
        <v>4</v>
      </c>
      <c r="D60">
        <v>106092.92029140001</v>
      </c>
      <c r="E60">
        <v>282179.67123287602</v>
      </c>
      <c r="F60">
        <v>0.80673743017586796</v>
      </c>
      <c r="G60">
        <v>19617.269555424798</v>
      </c>
      <c r="H60">
        <v>6177.79087142139</v>
      </c>
      <c r="I60" s="8">
        <v>1.4897343661976701E-5</v>
      </c>
      <c r="J60">
        <v>25795.060441743601</v>
      </c>
      <c r="K60">
        <v>50989.945229661498</v>
      </c>
      <c r="L60">
        <v>20356.552509954701</v>
      </c>
      <c r="M60">
        <v>19971.3621100407</v>
      </c>
      <c r="N60">
        <v>1462.3779549220301</v>
      </c>
      <c r="O60">
        <v>11020</v>
      </c>
      <c r="P60">
        <v>227644.90281828199</v>
      </c>
      <c r="Q60">
        <v>1380.27146414547</v>
      </c>
      <c r="R60">
        <v>33980.634383525299</v>
      </c>
      <c r="S60">
        <v>943.906510653483</v>
      </c>
      <c r="T60">
        <v>0.36911323114551098</v>
      </c>
      <c r="U60">
        <v>36719.7300995962</v>
      </c>
      <c r="V60">
        <v>278.17977348178903</v>
      </c>
    </row>
    <row r="61" spans="1:22" x14ac:dyDescent="0.35">
      <c r="A61" s="3"/>
      <c r="B61" s="3"/>
      <c r="D61">
        <f>D60-D59</f>
        <v>-3470.0549869755487</v>
      </c>
      <c r="E61">
        <f t="shared" ref="E61:V61" si="11">E60-E59</f>
        <v>0</v>
      </c>
      <c r="F61">
        <f t="shared" si="11"/>
        <v>-1.0153485538960005E-2</v>
      </c>
      <c r="G61">
        <f t="shared" si="11"/>
        <v>-667.82878678320048</v>
      </c>
      <c r="H61">
        <f t="shared" si="11"/>
        <v>-374.88135105099991</v>
      </c>
      <c r="I61">
        <f t="shared" si="11"/>
        <v>-6068.9240419192656</v>
      </c>
      <c r="J61">
        <f t="shared" si="11"/>
        <v>-7111.6341797534005</v>
      </c>
      <c r="K61">
        <f t="shared" si="11"/>
        <v>146.76122373789985</v>
      </c>
      <c r="L61">
        <f t="shared" si="11"/>
        <v>3977.7541241718009</v>
      </c>
      <c r="M61">
        <f t="shared" si="11"/>
        <v>522.01162059239869</v>
      </c>
      <c r="N61">
        <f t="shared" si="11"/>
        <v>457.43017919829003</v>
      </c>
      <c r="O61">
        <f t="shared" si="11"/>
        <v>0</v>
      </c>
      <c r="P61">
        <f t="shared" si="11"/>
        <v>-2477.7442790900823</v>
      </c>
      <c r="Q61">
        <f t="shared" si="11"/>
        <v>-83.757789339369992</v>
      </c>
      <c r="R61">
        <f t="shared" si="11"/>
        <v>7916.1452993303974</v>
      </c>
      <c r="S61">
        <f t="shared" si="11"/>
        <v>536.648868712938</v>
      </c>
      <c r="T61">
        <f t="shared" si="11"/>
        <v>-0.72698549006634905</v>
      </c>
      <c r="U61">
        <f t="shared" si="11"/>
        <v>36719.7300995962</v>
      </c>
      <c r="V61">
        <f t="shared" si="11"/>
        <v>278.17977348178903</v>
      </c>
    </row>
    <row r="62" spans="1:22" x14ac:dyDescent="0.35">
      <c r="A62" s="1" t="s">
        <v>42</v>
      </c>
      <c r="G62" s="4"/>
    </row>
    <row r="63" spans="1:22" x14ac:dyDescent="0.35">
      <c r="A63" s="3" t="s">
        <v>20</v>
      </c>
      <c r="B63" s="3" t="s">
        <v>23</v>
      </c>
      <c r="C63" s="3">
        <v>0</v>
      </c>
      <c r="G63" s="4"/>
    </row>
    <row r="64" spans="1:22" x14ac:dyDescent="0.35">
      <c r="A64" t="s">
        <v>22</v>
      </c>
      <c r="B64" t="s">
        <v>23</v>
      </c>
      <c r="C64">
        <v>0</v>
      </c>
      <c r="D64">
        <f>J64+K64+L64+M64+N64-O64</f>
        <v>125093.23428318274</v>
      </c>
      <c r="E64">
        <v>282190.859999999</v>
      </c>
      <c r="F64">
        <v>0.86904083066499505</v>
      </c>
      <c r="G64">
        <v>24203.497764766002</v>
      </c>
      <c r="H64">
        <v>4932.7238161263904</v>
      </c>
      <c r="I64">
        <v>9098.5748223234004</v>
      </c>
      <c r="J64">
        <v>38234.796403215798</v>
      </c>
      <c r="K64">
        <v>50845.200000000099</v>
      </c>
      <c r="L64">
        <v>15304.405199999899</v>
      </c>
      <c r="M64">
        <v>19298.29566</v>
      </c>
      <c r="N64">
        <v>1409.83742959549</v>
      </c>
      <c r="O64">
        <v>-0.69959037146548997</v>
      </c>
      <c r="P64">
        <f>D64+$P$1</f>
        <v>245652.90610217926</v>
      </c>
      <c r="Q64">
        <v>1102.0926609763501</v>
      </c>
      <c r="R64">
        <v>0</v>
      </c>
      <c r="U64">
        <v>15.5670440273115</v>
      </c>
      <c r="V64">
        <v>9.2660976353045002E-2</v>
      </c>
    </row>
    <row r="65" spans="1:22" x14ac:dyDescent="0.35">
      <c r="A65" s="3"/>
      <c r="B65" s="3"/>
      <c r="C65" s="3"/>
      <c r="G65" s="4"/>
    </row>
    <row r="66" spans="1:22" x14ac:dyDescent="0.35">
      <c r="A66" s="3" t="s">
        <v>20</v>
      </c>
      <c r="B66" s="3" t="s">
        <v>21</v>
      </c>
      <c r="C66" s="3">
        <v>4</v>
      </c>
      <c r="G66" s="4"/>
    </row>
    <row r="67" spans="1:22" x14ac:dyDescent="0.35">
      <c r="A67" t="s">
        <v>22</v>
      </c>
      <c r="B67" t="s">
        <v>21</v>
      </c>
      <c r="C67">
        <v>4</v>
      </c>
      <c r="D67">
        <v>108832.74020782999</v>
      </c>
      <c r="E67">
        <v>282179.67123306898</v>
      </c>
      <c r="F67">
        <v>0.81644691741250097</v>
      </c>
      <c r="G67">
        <v>19728.523245555101</v>
      </c>
      <c r="H67">
        <v>6281.7321988746498</v>
      </c>
      <c r="I67" s="8">
        <v>9.8877442286147301E-6</v>
      </c>
      <c r="J67">
        <v>26010.255454317499</v>
      </c>
      <c r="K67">
        <v>50944.9452054754</v>
      </c>
      <c r="L67">
        <v>20235.614943009699</v>
      </c>
      <c r="M67">
        <v>19962.024605027898</v>
      </c>
      <c r="N67">
        <v>1462.3779549220301</v>
      </c>
      <c r="O67">
        <v>8320.1</v>
      </c>
      <c r="P67">
        <v>230384.72273471201</v>
      </c>
      <c r="Q67">
        <v>1403.49453592792</v>
      </c>
      <c r="R67">
        <v>34518.506961381201</v>
      </c>
      <c r="S67">
        <v>841.91480393612801</v>
      </c>
      <c r="T67">
        <v>0.38784649209264499</v>
      </c>
      <c r="U67">
        <v>38264.627438579002</v>
      </c>
      <c r="V67">
        <v>301.29627904392902</v>
      </c>
    </row>
    <row r="68" spans="1:22" x14ac:dyDescent="0.35">
      <c r="A68" s="5"/>
      <c r="B68" s="5"/>
      <c r="D68">
        <f>D67-D64</f>
        <v>-16260.494075352748</v>
      </c>
      <c r="E68">
        <f t="shared" ref="E68:V68" si="12">E67-E64</f>
        <v>-11.188766930019483</v>
      </c>
      <c r="F68">
        <f t="shared" si="12"/>
        <v>-5.2593913252494073E-2</v>
      </c>
      <c r="G68">
        <f t="shared" si="12"/>
        <v>-4474.9745192109003</v>
      </c>
      <c r="H68">
        <f t="shared" si="12"/>
        <v>1349.0083827482595</v>
      </c>
      <c r="I68">
        <f t="shared" si="12"/>
        <v>-9098.574812435656</v>
      </c>
      <c r="J68">
        <f t="shared" si="12"/>
        <v>-12224.540948898299</v>
      </c>
      <c r="K68">
        <f t="shared" si="12"/>
        <v>99.745205475301191</v>
      </c>
      <c r="L68">
        <f t="shared" si="12"/>
        <v>4931.2097430098001</v>
      </c>
      <c r="M68">
        <f t="shared" si="12"/>
        <v>663.72894502789859</v>
      </c>
      <c r="N68">
        <f t="shared" si="12"/>
        <v>52.540525326540092</v>
      </c>
      <c r="O68">
        <f t="shared" si="12"/>
        <v>8320.7995903714655</v>
      </c>
      <c r="P68">
        <f t="shared" si="12"/>
        <v>-15268.183367467253</v>
      </c>
      <c r="Q68">
        <f t="shared" si="12"/>
        <v>301.40187495156988</v>
      </c>
      <c r="R68">
        <f t="shared" si="12"/>
        <v>34518.506961381201</v>
      </c>
      <c r="S68">
        <f t="shared" si="12"/>
        <v>841.91480393612801</v>
      </c>
      <c r="T68">
        <f t="shared" si="12"/>
        <v>0.38784649209264499</v>
      </c>
      <c r="U68">
        <f t="shared" si="12"/>
        <v>38249.060394551692</v>
      </c>
      <c r="V68">
        <f t="shared" si="12"/>
        <v>301.20361806757597</v>
      </c>
    </row>
    <row r="69" spans="1:22" x14ac:dyDescent="0.35">
      <c r="A69" s="1" t="s">
        <v>31</v>
      </c>
    </row>
    <row r="70" spans="1:22" x14ac:dyDescent="0.35">
      <c r="A70" s="3" t="s">
        <v>20</v>
      </c>
      <c r="B70" s="3" t="s">
        <v>23</v>
      </c>
      <c r="C70">
        <v>0</v>
      </c>
      <c r="D70">
        <f>J70+K70+L70+M70+N70</f>
        <v>116023.2890300647</v>
      </c>
      <c r="E70">
        <v>282179.67123287602</v>
      </c>
      <c r="F70">
        <v>0.83841249022441</v>
      </c>
      <c r="G70">
        <v>20114.092712805999</v>
      </c>
      <c r="H70">
        <v>6942.2846600808298</v>
      </c>
      <c r="I70">
        <v>2530.0880681377598</v>
      </c>
      <c r="J70">
        <v>29586.4654410246</v>
      </c>
      <c r="K70">
        <v>50843.184005923598</v>
      </c>
      <c r="L70">
        <v>15303.798385783</v>
      </c>
      <c r="M70">
        <v>19297.5304894482</v>
      </c>
      <c r="N70">
        <v>992.31070788530405</v>
      </c>
      <c r="O70">
        <v>0</v>
      </c>
      <c r="P70">
        <f t="shared" ref="P70:P71" si="13">D70+$P$1</f>
        <v>236582.9608490612</v>
      </c>
      <c r="Q70">
        <v>1101.8347602124099</v>
      </c>
      <c r="R70">
        <v>0</v>
      </c>
      <c r="S70">
        <v>0</v>
      </c>
      <c r="T70">
        <v>0</v>
      </c>
    </row>
    <row r="71" spans="1:22" x14ac:dyDescent="0.35">
      <c r="A71" s="3" t="s">
        <v>22</v>
      </c>
      <c r="B71" s="3" t="s">
        <v>23</v>
      </c>
      <c r="C71">
        <v>0</v>
      </c>
      <c r="D71">
        <f>J71+K71+L71+M71+N71</f>
        <v>125763.55741733511</v>
      </c>
      <c r="E71">
        <v>282179.67125180899</v>
      </c>
      <c r="F71">
        <v>0.87293045648394496</v>
      </c>
      <c r="G71">
        <v>22626.697961956499</v>
      </c>
      <c r="H71">
        <v>7102.5767129513297</v>
      </c>
      <c r="I71">
        <v>9597.4591384874802</v>
      </c>
      <c r="J71">
        <v>39326.733813395302</v>
      </c>
      <c r="K71">
        <v>50843.184011688398</v>
      </c>
      <c r="L71">
        <v>15303.798393134501</v>
      </c>
      <c r="M71">
        <v>19297.530491231599</v>
      </c>
      <c r="N71">
        <v>992.31070788530405</v>
      </c>
      <c r="O71">
        <v>0</v>
      </c>
      <c r="P71">
        <f t="shared" si="13"/>
        <v>246323.22923633162</v>
      </c>
      <c r="Q71">
        <v>1127.27501714903</v>
      </c>
      <c r="R71">
        <v>0</v>
      </c>
      <c r="S71">
        <v>0</v>
      </c>
      <c r="T71">
        <v>0</v>
      </c>
    </row>
    <row r="72" spans="1:22" x14ac:dyDescent="0.35">
      <c r="A72" s="1"/>
    </row>
    <row r="73" spans="1:22" x14ac:dyDescent="0.35">
      <c r="A73" t="s">
        <v>20</v>
      </c>
      <c r="B73" t="s">
        <v>21</v>
      </c>
      <c r="C73">
        <v>2</v>
      </c>
      <c r="D73">
        <f>J73+K73+L73+M73+N73</f>
        <v>116706.4157905087</v>
      </c>
      <c r="E73">
        <v>282179.67125387199</v>
      </c>
      <c r="F73">
        <v>0.840833383054163</v>
      </c>
      <c r="G73" s="4">
        <v>20578.507216446698</v>
      </c>
      <c r="H73">
        <v>7102.57515066207</v>
      </c>
      <c r="I73">
        <v>2588.5052959285099</v>
      </c>
      <c r="J73">
        <v>30269.587663037299</v>
      </c>
      <c r="K73">
        <v>50843.185173268597</v>
      </c>
      <c r="L73">
        <v>15303.8015139941</v>
      </c>
      <c r="M73">
        <v>19297.530732323401</v>
      </c>
      <c r="N73">
        <v>992.31070788530405</v>
      </c>
      <c r="O73">
        <v>0</v>
      </c>
      <c r="P73">
        <f t="shared" ref="P73:P74" si="14">D73+$P$1</f>
        <v>237266.08760950522</v>
      </c>
      <c r="Q73">
        <v>1127.2750356983099</v>
      </c>
      <c r="R73">
        <v>0</v>
      </c>
    </row>
    <row r="74" spans="1:22" x14ac:dyDescent="0.35">
      <c r="A74" s="2" t="s">
        <v>22</v>
      </c>
      <c r="B74" s="2" t="s">
        <v>21</v>
      </c>
      <c r="C74">
        <v>2</v>
      </c>
      <c r="D74">
        <f>J74+K74+L74+M74+N74</f>
        <v>121633.35860365373</v>
      </c>
      <c r="E74">
        <v>282179.67123287602</v>
      </c>
      <c r="F74">
        <v>0.85824890324911396</v>
      </c>
      <c r="G74" s="4">
        <v>20824.7129679639</v>
      </c>
      <c r="H74">
        <v>7456.39074483072</v>
      </c>
      <c r="I74">
        <v>5114.4587365303096</v>
      </c>
      <c r="J74">
        <v>33395.562449324898</v>
      </c>
      <c r="K74">
        <v>51302.320205525801</v>
      </c>
      <c r="L74">
        <v>16537.7269222135</v>
      </c>
      <c r="M74">
        <v>19392.801250865799</v>
      </c>
      <c r="N74">
        <v>1004.9477757237401</v>
      </c>
      <c r="O74">
        <v>0</v>
      </c>
      <c r="P74">
        <f t="shared" si="14"/>
        <v>242193.03042265025</v>
      </c>
      <c r="Q74">
        <v>1183.4303612998101</v>
      </c>
      <c r="R74">
        <v>15931.1957490451</v>
      </c>
      <c r="S74">
        <v>346.33034237054602</v>
      </c>
      <c r="T74">
        <v>1.0959871186973</v>
      </c>
    </row>
    <row r="76" spans="1:22" x14ac:dyDescent="0.35">
      <c r="A76" t="s">
        <v>20</v>
      </c>
      <c r="B76" t="s">
        <v>21</v>
      </c>
      <c r="C76">
        <v>4</v>
      </c>
      <c r="D76">
        <f>J76+K76+L76+M76+N76</f>
        <v>116706.4157905051</v>
      </c>
      <c r="E76">
        <v>282179.671253876</v>
      </c>
      <c r="F76">
        <v>0.84083338305413902</v>
      </c>
      <c r="G76" s="4">
        <v>20578.5072164468</v>
      </c>
      <c r="H76">
        <v>7102.5751506616798</v>
      </c>
      <c r="I76">
        <v>2588.50529592865</v>
      </c>
      <c r="J76">
        <v>30269.587663037099</v>
      </c>
      <c r="K76">
        <v>50843.185173268197</v>
      </c>
      <c r="L76">
        <v>15303.8015139912</v>
      </c>
      <c r="M76">
        <v>19297.530732323299</v>
      </c>
      <c r="N76">
        <v>992.31070788530405</v>
      </c>
      <c r="O76">
        <v>0</v>
      </c>
      <c r="P76">
        <f t="shared" ref="P76:P78" si="15">D76+$P$1</f>
        <v>237266.08760950161</v>
      </c>
      <c r="Q76">
        <v>1127.2750356983499</v>
      </c>
      <c r="R76">
        <v>0</v>
      </c>
    </row>
    <row r="77" spans="1:22" x14ac:dyDescent="0.35">
      <c r="A77" t="s">
        <v>22</v>
      </c>
      <c r="B77" t="s">
        <v>21</v>
      </c>
      <c r="C77">
        <v>4</v>
      </c>
      <c r="D77">
        <f>J77+K77+L77+M77+N77</f>
        <v>121744.79706913032</v>
      </c>
      <c r="E77">
        <v>282179.88376308198</v>
      </c>
      <c r="F77">
        <v>0.85713546401894802</v>
      </c>
      <c r="G77">
        <v>21291.5607898614</v>
      </c>
      <c r="H77">
        <v>7432.3603175362596</v>
      </c>
      <c r="I77">
        <v>5035.2758648834497</v>
      </c>
      <c r="J77">
        <v>33759.196972281097</v>
      </c>
      <c r="K77">
        <v>51128.3645002267</v>
      </c>
      <c r="L77">
        <v>16070.129576240101</v>
      </c>
      <c r="M77">
        <v>19356.7120304526</v>
      </c>
      <c r="N77">
        <v>1430.39398992981</v>
      </c>
      <c r="O77">
        <v>0</v>
      </c>
      <c r="P77">
        <f t="shared" si="15"/>
        <v>242304.46888812684</v>
      </c>
      <c r="Q77">
        <v>1179.61640190856</v>
      </c>
      <c r="R77">
        <v>13411.4010346792</v>
      </c>
      <c r="S77">
        <v>478.97860838140201</v>
      </c>
      <c r="T77">
        <v>0.22564405635506199</v>
      </c>
      <c r="U77">
        <v>10550.3210016294</v>
      </c>
      <c r="V77">
        <v>75.359435725924598</v>
      </c>
    </row>
    <row r="78" spans="1:22" x14ac:dyDescent="0.35">
      <c r="D78">
        <f>D77-D71</f>
        <v>-4018.7603482047853</v>
      </c>
      <c r="E78">
        <f t="shared" ref="E78:N78" si="16">E77-E71</f>
        <v>0.21251127298455685</v>
      </c>
      <c r="F78">
        <f t="shared" si="16"/>
        <v>-1.5794992464996938E-2</v>
      </c>
      <c r="G78">
        <f t="shared" si="16"/>
        <v>-1335.1371720950992</v>
      </c>
      <c r="H78">
        <f t="shared" si="16"/>
        <v>329.78360458492989</v>
      </c>
      <c r="I78">
        <f t="shared" si="16"/>
        <v>-4562.1832736040305</v>
      </c>
      <c r="J78">
        <f t="shared" si="16"/>
        <v>-5567.5368411142044</v>
      </c>
      <c r="K78">
        <f t="shared" si="16"/>
        <v>285.1804885383026</v>
      </c>
      <c r="L78">
        <f t="shared" si="16"/>
        <v>766.33118310559985</v>
      </c>
      <c r="M78">
        <f t="shared" si="16"/>
        <v>59.181539221001003</v>
      </c>
      <c r="N78">
        <f t="shared" si="16"/>
        <v>438.08328204450595</v>
      </c>
      <c r="P78">
        <f t="shared" si="15"/>
        <v>116540.91147079173</v>
      </c>
    </row>
    <row r="79" spans="1:22" x14ac:dyDescent="0.35">
      <c r="A79" s="1" t="s">
        <v>34</v>
      </c>
      <c r="G79" s="4"/>
    </row>
    <row r="80" spans="1:22" x14ac:dyDescent="0.35">
      <c r="A80" t="s">
        <v>22</v>
      </c>
      <c r="B80" t="s">
        <v>21</v>
      </c>
      <c r="C80">
        <v>4</v>
      </c>
      <c r="D80">
        <f>J80+K80+L80+M80+N80</f>
        <v>147118.48206815872</v>
      </c>
      <c r="E80">
        <v>355610.364944759</v>
      </c>
      <c r="F80">
        <v>0.75267772890587503</v>
      </c>
      <c r="G80">
        <v>25765.651662743599</v>
      </c>
      <c r="H80">
        <v>7150.9042815892099</v>
      </c>
      <c r="I80">
        <v>5144.3184852884797</v>
      </c>
      <c r="J80">
        <v>38060.874429621297</v>
      </c>
      <c r="K80">
        <v>64168.339029134899</v>
      </c>
      <c r="L80">
        <v>19539.954214541001</v>
      </c>
      <c r="M80">
        <v>24338.851661831999</v>
      </c>
      <c r="N80">
        <v>1010.46273302954</v>
      </c>
      <c r="O80">
        <v>0</v>
      </c>
      <c r="P80">
        <f t="shared" ref="P80" si="17">D80+$P$1</f>
        <v>267678.15388715523</v>
      </c>
      <c r="Q80">
        <v>1597.68911089628</v>
      </c>
      <c r="R80">
        <v>13084.0423994256</v>
      </c>
      <c r="S80">
        <v>467.28722855091399</v>
      </c>
      <c r="T80">
        <v>-0.25904927491985202</v>
      </c>
    </row>
    <row r="81" spans="1:20" x14ac:dyDescent="0.35">
      <c r="A81" t="s">
        <v>22</v>
      </c>
      <c r="B81" t="s">
        <v>35</v>
      </c>
      <c r="C81" t="s">
        <v>35</v>
      </c>
      <c r="D81" t="s">
        <v>36</v>
      </c>
      <c r="E81" t="s">
        <v>36</v>
      </c>
      <c r="F81" t="s">
        <v>36</v>
      </c>
      <c r="G81" s="4">
        <v>28838</v>
      </c>
      <c r="H81">
        <v>7567.5</v>
      </c>
      <c r="I81">
        <v>13764.1</v>
      </c>
      <c r="J81">
        <v>50169.7</v>
      </c>
      <c r="K81" t="s">
        <v>36</v>
      </c>
      <c r="L81" t="s">
        <v>36</v>
      </c>
      <c r="M81" t="s">
        <v>36</v>
      </c>
      <c r="N81" t="s">
        <v>36</v>
      </c>
    </row>
    <row r="83" spans="1:20" hidden="1" x14ac:dyDescent="0.35">
      <c r="A83" s="1" t="s">
        <v>26</v>
      </c>
      <c r="G83" s="4"/>
      <c r="P83" t="s">
        <v>15</v>
      </c>
      <c r="Q83" t="s">
        <v>16</v>
      </c>
      <c r="R83" t="s">
        <v>17</v>
      </c>
      <c r="S83" t="s">
        <v>18</v>
      </c>
      <c r="T83" t="s">
        <v>19</v>
      </c>
    </row>
    <row r="84" spans="1:20" hidden="1" x14ac:dyDescent="0.35">
      <c r="A84" t="s">
        <v>0</v>
      </c>
      <c r="B84" t="s">
        <v>1</v>
      </c>
      <c r="C84" t="s">
        <v>2</v>
      </c>
      <c r="D84" t="s">
        <v>3</v>
      </c>
      <c r="E84" t="s">
        <v>4</v>
      </c>
      <c r="F84" t="s">
        <v>5</v>
      </c>
      <c r="G84" s="4" t="s">
        <v>6</v>
      </c>
      <c r="H84" t="s">
        <v>7</v>
      </c>
      <c r="I84" t="s">
        <v>8</v>
      </c>
      <c r="J84" t="s">
        <v>9</v>
      </c>
      <c r="K84" t="s">
        <v>10</v>
      </c>
      <c r="L84" t="s">
        <v>11</v>
      </c>
      <c r="M84" t="s">
        <v>12</v>
      </c>
      <c r="N84" t="s">
        <v>13</v>
      </c>
      <c r="O84" t="s">
        <v>14</v>
      </c>
      <c r="P84">
        <v>63734.6679</v>
      </c>
      <c r="Q84">
        <v>1078.4492829999999</v>
      </c>
      <c r="R84">
        <v>624.70352849999995</v>
      </c>
      <c r="S84">
        <v>13.014656840000001</v>
      </c>
      <c r="T84">
        <v>27.514184579999998</v>
      </c>
    </row>
    <row r="85" spans="1:20" hidden="1" x14ac:dyDescent="0.35">
      <c r="A85" s="2" t="s">
        <v>20</v>
      </c>
      <c r="B85" t="s">
        <v>21</v>
      </c>
      <c r="C85">
        <v>4</v>
      </c>
      <c r="D85">
        <v>29525.427309999999</v>
      </c>
      <c r="E85">
        <v>80391.755990000005</v>
      </c>
      <c r="F85">
        <v>0.79280104200000001</v>
      </c>
      <c r="G85" s="4">
        <v>5050.6365619999997</v>
      </c>
      <c r="H85">
        <v>4678.3390820000004</v>
      </c>
      <c r="I85">
        <v>2508.6600360000002</v>
      </c>
      <c r="J85">
        <v>12237.635679999999</v>
      </c>
      <c r="K85">
        <v>13920</v>
      </c>
      <c r="L85">
        <v>2841.544922</v>
      </c>
      <c r="M85">
        <v>5380.5444360000001</v>
      </c>
      <c r="N85">
        <v>279.27307350000001</v>
      </c>
      <c r="O85">
        <v>0</v>
      </c>
      <c r="P85">
        <v>64865.028310000002</v>
      </c>
      <c r="Q85">
        <v>1191.7509680000001</v>
      </c>
      <c r="R85">
        <v>7243.7162129999997</v>
      </c>
      <c r="S85">
        <v>452.7322633</v>
      </c>
      <c r="T85">
        <v>5.8154128590000003</v>
      </c>
    </row>
    <row r="86" spans="1:20" x14ac:dyDescent="0.35">
      <c r="A86" s="7" t="s">
        <v>37</v>
      </c>
    </row>
    <row r="88" spans="1:20" x14ac:dyDescent="0.35">
      <c r="A88" t="s">
        <v>32</v>
      </c>
      <c r="B88" t="s">
        <v>33</v>
      </c>
      <c r="C88" t="s">
        <v>2</v>
      </c>
    </row>
    <row r="89" spans="1:20" x14ac:dyDescent="0.35">
      <c r="A89">
        <v>20</v>
      </c>
      <c r="B89">
        <v>60</v>
      </c>
      <c r="C89">
        <v>2</v>
      </c>
      <c r="D89">
        <f t="shared" ref="D89:D95" si="18">J89+K89+L89+M89+N89</f>
        <v>120712.69088313227</v>
      </c>
      <c r="E89">
        <v>282179.67123285501</v>
      </c>
      <c r="F89">
        <v>0.854946898908852</v>
      </c>
      <c r="G89">
        <v>18681.222424938602</v>
      </c>
      <c r="H89">
        <v>5354.6114985546601</v>
      </c>
      <c r="I89">
        <v>8156.08309050551</v>
      </c>
      <c r="J89">
        <v>32191.917013998798</v>
      </c>
      <c r="K89">
        <v>51372.124296964801</v>
      </c>
      <c r="L89">
        <v>16725.325417965501</v>
      </c>
      <c r="M89">
        <v>19407.285599838699</v>
      </c>
      <c r="N89">
        <v>1016.03855436447</v>
      </c>
      <c r="O89">
        <v>0</v>
      </c>
      <c r="P89">
        <f t="shared" ref="P89:P95" si="19">D89+$P$1</f>
        <v>241272.36270212877</v>
      </c>
      <c r="Q89">
        <v>1192.7637589594799</v>
      </c>
      <c r="R89">
        <v>19736.206339365101</v>
      </c>
      <c r="S89">
        <v>481.37088632597801</v>
      </c>
      <c r="T89" s="6">
        <v>0.12591688076390301</v>
      </c>
    </row>
    <row r="90" spans="1:20" x14ac:dyDescent="0.35">
      <c r="A90">
        <v>20</v>
      </c>
      <c r="B90">
        <v>50</v>
      </c>
      <c r="C90">
        <v>2</v>
      </c>
      <c r="D90">
        <f t="shared" si="18"/>
        <v>119392.42354269064</v>
      </c>
      <c r="E90">
        <v>282254.81855225202</v>
      </c>
      <c r="F90">
        <v>0.85006146065890897</v>
      </c>
      <c r="G90">
        <v>19407.840072768398</v>
      </c>
      <c r="H90">
        <v>5891.8301217549197</v>
      </c>
      <c r="I90">
        <v>6659.4942697455399</v>
      </c>
      <c r="J90">
        <v>31959.164464268899</v>
      </c>
      <c r="K90">
        <v>51102.045942938203</v>
      </c>
      <c r="L90">
        <v>15967.176494174801</v>
      </c>
      <c r="M90">
        <v>19353.573908279199</v>
      </c>
      <c r="N90">
        <v>1010.46273302954</v>
      </c>
      <c r="O90">
        <v>0</v>
      </c>
      <c r="P90">
        <f t="shared" si="19"/>
        <v>239952.09536168716</v>
      </c>
      <c r="Q90">
        <v>1312.43161993582</v>
      </c>
      <c r="R90">
        <v>18377.616631847999</v>
      </c>
      <c r="S90">
        <v>459.4404157962</v>
      </c>
      <c r="T90" s="6">
        <v>0.14758705239613301</v>
      </c>
    </row>
    <row r="91" spans="1:20" x14ac:dyDescent="0.35">
      <c r="A91">
        <v>20</v>
      </c>
      <c r="B91">
        <v>40</v>
      </c>
      <c r="C91">
        <v>2</v>
      </c>
      <c r="D91">
        <f t="shared" si="18"/>
        <v>117777.02945340994</v>
      </c>
      <c r="E91">
        <v>282179.67123287299</v>
      </c>
      <c r="F91">
        <v>0.84456314023622803</v>
      </c>
      <c r="G91">
        <v>19298.245593088301</v>
      </c>
      <c r="H91">
        <v>5682.0016560700296</v>
      </c>
      <c r="I91">
        <v>5350.3346939491703</v>
      </c>
      <c r="J91">
        <v>30330.5819431075</v>
      </c>
      <c r="K91">
        <v>51097.733915068202</v>
      </c>
      <c r="L91">
        <v>15987.901266609</v>
      </c>
      <c r="M91">
        <v>19350.349595595701</v>
      </c>
      <c r="N91">
        <v>1010.46273302954</v>
      </c>
      <c r="O91">
        <v>0</v>
      </c>
      <c r="P91">
        <f t="shared" si="19"/>
        <v>238336.70127240644</v>
      </c>
      <c r="Q91">
        <v>1265.6913868611</v>
      </c>
      <c r="R91">
        <v>17746.163883660702</v>
      </c>
      <c r="S91">
        <v>507.03325381887902</v>
      </c>
      <c r="T91" s="6">
        <v>-0.25983751983286502</v>
      </c>
    </row>
    <row r="92" spans="1:20" x14ac:dyDescent="0.35">
      <c r="A92">
        <v>20</v>
      </c>
      <c r="B92">
        <v>30</v>
      </c>
      <c r="C92">
        <v>2</v>
      </c>
      <c r="D92">
        <f t="shared" si="18"/>
        <v>116625.1695160947</v>
      </c>
      <c r="E92">
        <v>282182.50548365602</v>
      </c>
      <c r="F92">
        <v>0.84045954058697003</v>
      </c>
      <c r="G92">
        <v>19302.752565837702</v>
      </c>
      <c r="H92">
        <v>6226.5181629292701</v>
      </c>
      <c r="I92">
        <v>3974.5318253822402</v>
      </c>
      <c r="J92">
        <v>29503.802554149199</v>
      </c>
      <c r="K92">
        <v>51013.610661725899</v>
      </c>
      <c r="L92">
        <v>15760.601295416</v>
      </c>
      <c r="M92">
        <v>19332.981882301501</v>
      </c>
      <c r="N92">
        <v>1014.17312250211</v>
      </c>
      <c r="O92">
        <v>0</v>
      </c>
      <c r="P92">
        <f t="shared" si="19"/>
        <v>237184.84133509122</v>
      </c>
      <c r="Q92">
        <v>1386.9848841974899</v>
      </c>
      <c r="R92">
        <v>18436.445202769701</v>
      </c>
      <c r="S92">
        <v>209.50505912238299</v>
      </c>
      <c r="T92" s="6">
        <v>0.28049716262959101</v>
      </c>
    </row>
    <row r="93" spans="1:20" x14ac:dyDescent="0.35">
      <c r="A93" s="3">
        <v>20</v>
      </c>
      <c r="B93" s="3">
        <v>20</v>
      </c>
      <c r="C93" s="3">
        <v>2</v>
      </c>
      <c r="D93">
        <f t="shared" si="18"/>
        <v>115198.459983006</v>
      </c>
      <c r="E93">
        <v>282179.67123297497</v>
      </c>
      <c r="F93">
        <v>0.83541194997266699</v>
      </c>
      <c r="G93">
        <v>19351.2255529412</v>
      </c>
      <c r="H93">
        <v>6002.0469674603501</v>
      </c>
      <c r="I93">
        <v>2645.4376652921501</v>
      </c>
      <c r="J93">
        <v>27998.710185693701</v>
      </c>
      <c r="K93">
        <v>51033.4442867088</v>
      </c>
      <c r="L93">
        <v>15815.1228903871</v>
      </c>
      <c r="M93">
        <v>19337.009497714302</v>
      </c>
      <c r="N93">
        <v>1014.17312250211</v>
      </c>
      <c r="O93">
        <v>0</v>
      </c>
      <c r="P93">
        <f t="shared" si="19"/>
        <v>235758.13180200252</v>
      </c>
      <c r="Q93">
        <v>1336.98290493166</v>
      </c>
      <c r="R93">
        <v>18577.307877855899</v>
      </c>
      <c r="S93">
        <v>432.030415764091</v>
      </c>
      <c r="T93" s="6">
        <v>-0.122490141098651</v>
      </c>
    </row>
    <row r="94" spans="1:20" x14ac:dyDescent="0.35">
      <c r="A94">
        <v>20</v>
      </c>
      <c r="B94">
        <v>15</v>
      </c>
      <c r="C94">
        <v>2</v>
      </c>
      <c r="D94">
        <f t="shared" si="18"/>
        <v>114451.25872361983</v>
      </c>
      <c r="E94">
        <v>282179.67123267101</v>
      </c>
      <c r="F94">
        <v>0.83277713625127903</v>
      </c>
      <c r="G94">
        <v>19390.977969205</v>
      </c>
      <c r="H94">
        <v>5599.5405456203798</v>
      </c>
      <c r="I94">
        <v>2128.1287863747102</v>
      </c>
      <c r="J94">
        <v>27118.647301200101</v>
      </c>
      <c r="K94">
        <v>51068.507704320902</v>
      </c>
      <c r="L94">
        <v>15909.3558282099</v>
      </c>
      <c r="M94">
        <v>19344.285156859401</v>
      </c>
      <c r="N94">
        <v>1010.46273302954</v>
      </c>
      <c r="O94">
        <v>0</v>
      </c>
      <c r="P94">
        <f t="shared" si="19"/>
        <v>235010.93054261635</v>
      </c>
      <c r="Q94">
        <v>1247.3228025527501</v>
      </c>
      <c r="R94">
        <v>16417.502561416801</v>
      </c>
      <c r="S94">
        <v>469.07150175476602</v>
      </c>
      <c r="T94" s="6">
        <v>0.46004655114715598</v>
      </c>
    </row>
    <row r="95" spans="1:20" x14ac:dyDescent="0.35">
      <c r="A95">
        <v>20</v>
      </c>
      <c r="B95">
        <v>12</v>
      </c>
      <c r="C95">
        <v>2</v>
      </c>
      <c r="D95">
        <f t="shared" si="18"/>
        <v>114787.7594081375</v>
      </c>
      <c r="E95">
        <v>282179.67123287602</v>
      </c>
      <c r="F95">
        <v>0.83403396920434802</v>
      </c>
      <c r="G95">
        <v>20436.472361711199</v>
      </c>
      <c r="H95">
        <v>4946.5396722567002</v>
      </c>
      <c r="I95">
        <v>2967.9237851293901</v>
      </c>
      <c r="J95">
        <v>28350.9358190973</v>
      </c>
      <c r="K95">
        <v>50843.184005923598</v>
      </c>
      <c r="L95">
        <v>15303.798385783</v>
      </c>
      <c r="M95">
        <v>19297.530489448302</v>
      </c>
      <c r="N95">
        <v>992.31070788530405</v>
      </c>
      <c r="O95">
        <v>0</v>
      </c>
      <c r="P95">
        <f t="shared" si="19"/>
        <v>235347.43122713402</v>
      </c>
      <c r="Q95">
        <v>1101.8639118583401</v>
      </c>
      <c r="R95">
        <v>13.380488321454299</v>
      </c>
      <c r="S95">
        <v>2.67609766429086</v>
      </c>
      <c r="T95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2026-07-22T19:37:53Z</dcterms:modified>
</cp:coreProperties>
</file>