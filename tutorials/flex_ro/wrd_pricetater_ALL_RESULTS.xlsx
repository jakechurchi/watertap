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9D1FE8ED-83C4-44C2-B5FD-1D5D4D3EABAB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9" i="1" l="1"/>
  <c r="K102" i="1"/>
  <c r="D100" i="1"/>
  <c r="L100" i="1"/>
  <c r="L97" i="1"/>
  <c r="D97" i="1" s="1"/>
  <c r="P97" i="1" s="1"/>
  <c r="P101" i="1"/>
  <c r="P98" i="1"/>
  <c r="D101" i="1"/>
  <c r="D98" i="1"/>
  <c r="D94" i="1"/>
  <c r="P94" i="1" s="1"/>
  <c r="D89" i="1"/>
  <c r="P89" i="1" s="1"/>
  <c r="I11" i="2"/>
  <c r="I17" i="2"/>
  <c r="D17" i="2" s="1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D62" i="1"/>
  <c r="P62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15" i="1"/>
  <c r="P115" i="1" s="1"/>
  <c r="D114" i="1"/>
  <c r="P114" i="1" s="1"/>
  <c r="D113" i="1"/>
  <c r="P113" i="1" s="1"/>
  <c r="D112" i="1"/>
  <c r="P112" i="1" s="1"/>
  <c r="D111" i="1"/>
  <c r="P111" i="1" s="1"/>
  <c r="D110" i="1"/>
  <c r="P110" i="1" s="1"/>
  <c r="D109" i="1"/>
  <c r="P109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1" i="2" l="1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98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1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T112" authorId="24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<sst xmlns="http://schemas.openxmlformats.org/spreadsheetml/2006/main" count="217" uniqueCount="64">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</sst>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98" dT="2026-08-09T17:04:16.49" personId="{114E4FE4-B7B1-4FA3-A72A-3A97E9B9C3CF}" id="{3B63C6BF-9DE1-4172-A721-F97EE0406603}">
    <text>2.5x higher brine costs (1.08$/m3)</text>
  </threadedComment>
  <threadedComment ref="A101" dT="2026-08-09T17:05:17.32" personId="{114E4FE4-B7B1-4FA3-A72A-3A97E9B9C3CF}" id="{FE798470-8A4D-4C72-9935-5EF1B8A7CFB6}">
    <text>5x brine costs (2.15 $/m3)</text>
  </threadedComment>
  <threadedComment ref="T112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15"/>
  <sheetViews>
    <sheetView tabSelected="1" topLeftCell="A79" zoomScale="110" zoomScaleNormal="110" workbookViewId="0">
      <selection activeCell="L97" sqref="L97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0"/>
    </row>
    <row r="67" spans="1:22" x14ac:dyDescent="0.4">
      <c r="A67" s="14" t="s">
        <v>60</v>
      </c>
      <c r="B67" s="14"/>
      <c r="C67" s="14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7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ref="P89" si="21">D89+$P$1</f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36</v>
      </c>
      <c r="L90" t="s">
        <v>36</v>
      </c>
      <c r="M90" t="s">
        <v>36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A94" s="2" t="s">
        <v>20</v>
      </c>
      <c r="B94" t="s">
        <v>21</v>
      </c>
      <c r="C94">
        <v>4</v>
      </c>
      <c r="D94">
        <f>J94+K94+L94+M94+N94</f>
        <v>34658.998111500005</v>
      </c>
      <c r="E94">
        <v>80391.755990000005</v>
      </c>
      <c r="F94">
        <v>0.79280104200000001</v>
      </c>
      <c r="G94" s="4">
        <v>5050.6365619999997</v>
      </c>
      <c r="H94">
        <v>4678.3390820000004</v>
      </c>
      <c r="I94">
        <v>2508.6600360000002</v>
      </c>
      <c r="J94">
        <v>12237.635679999999</v>
      </c>
      <c r="K94">
        <v>13920</v>
      </c>
      <c r="L94">
        <v>2841.544922</v>
      </c>
      <c r="M94">
        <v>5380.5444360000001</v>
      </c>
      <c r="N94">
        <v>279.27307350000001</v>
      </c>
      <c r="O94">
        <v>0</v>
      </c>
      <c r="P94">
        <f t="shared" ref="P94" si="22">D94+$P$1</f>
        <v>155218.66993049652</v>
      </c>
      <c r="Q94">
        <v>1191.7509680000001</v>
      </c>
      <c r="R94">
        <v>7243.7162129999997</v>
      </c>
      <c r="S94">
        <v>452.7322633</v>
      </c>
      <c r="T94">
        <v>5.8154128590000003</v>
      </c>
    </row>
    <row r="96" spans="1:22" x14ac:dyDescent="0.4">
      <c r="A96" s="1" t="s">
        <v>63</v>
      </c>
    </row>
    <row r="97" spans="1:22" x14ac:dyDescent="0.4">
      <c r="A97" t="s">
        <v>22</v>
      </c>
      <c r="B97" t="s">
        <v>23</v>
      </c>
      <c r="C97">
        <v>0</v>
      </c>
      <c r="D97">
        <f>J97+K97+L97+M97+N97</f>
        <v>144641.57326653044</v>
      </c>
      <c r="E97">
        <v>282179.67123287602</v>
      </c>
      <c r="F97">
        <v>0.85636894399557495</v>
      </c>
      <c r="G97">
        <v>20627.43117349</v>
      </c>
      <c r="H97">
        <v>4930.8542128783001</v>
      </c>
      <c r="I97">
        <v>9095.1262763121395</v>
      </c>
      <c r="J97">
        <v>34653.411662680403</v>
      </c>
      <c r="K97">
        <v>50843.184005923598</v>
      </c>
      <c r="L97">
        <f>L4*(1.08/0.43)</f>
        <v>38437.447108478234</v>
      </c>
      <c r="M97">
        <v>19297.5304894482</v>
      </c>
      <c r="N97">
        <v>1410</v>
      </c>
      <c r="O97">
        <v>0</v>
      </c>
      <c r="P97">
        <f t="shared" ref="P97" si="23">D97+$P$1</f>
        <v>265201.24508552696</v>
      </c>
    </row>
    <row r="98" spans="1:22" x14ac:dyDescent="0.4">
      <c r="A98" t="s">
        <v>22</v>
      </c>
      <c r="B98" t="s">
        <v>21</v>
      </c>
      <c r="C98">
        <v>4</v>
      </c>
      <c r="D98">
        <f>J98+K98+L98+M98+N98</f>
        <v>141686.61445013408</v>
      </c>
      <c r="E98">
        <v>282179.70347192901</v>
      </c>
      <c r="F98">
        <v>0.92782505226740197</v>
      </c>
      <c r="G98">
        <v>19831.065688191899</v>
      </c>
      <c r="H98">
        <v>6230.6791730567802</v>
      </c>
      <c r="I98">
        <v>4871.4166947967997</v>
      </c>
      <c r="J98">
        <v>30933.161556045401</v>
      </c>
      <c r="K98">
        <v>50937.4505788346</v>
      </c>
      <c r="L98">
        <v>39073.7116581429</v>
      </c>
      <c r="M98">
        <v>19317.091802737999</v>
      </c>
      <c r="N98">
        <v>1425.19885437316</v>
      </c>
      <c r="O98">
        <v>0</v>
      </c>
      <c r="P98">
        <f t="shared" ref="P98" si="24">D98+$P$1</f>
        <v>262246.28626913059</v>
      </c>
      <c r="Q98">
        <v>1392.0880151674601</v>
      </c>
      <c r="R98">
        <v>14195.8581733913</v>
      </c>
      <c r="S98">
        <v>112.66554105866101</v>
      </c>
      <c r="T98">
        <v>-1.52076853589591</v>
      </c>
      <c r="U98">
        <v>12183.2216733653</v>
      </c>
      <c r="V98">
        <v>290.07670650869801</v>
      </c>
    </row>
    <row r="99" spans="1:22" x14ac:dyDescent="0.4">
      <c r="K99">
        <f>SUM(K97:M97)-SUM(K98:M98)</f>
        <v>-750.09243586547382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182723.11808696718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L4*(2.15/0.43)</f>
        <v>76518.991928914998</v>
      </c>
      <c r="M100">
        <v>19297.5304894482</v>
      </c>
      <c r="N100">
        <v>1410</v>
      </c>
    </row>
    <row r="101" spans="1:22" x14ac:dyDescent="0.4">
      <c r="A101" t="s">
        <v>22</v>
      </c>
      <c r="B101" t="s">
        <v>21</v>
      </c>
      <c r="C101">
        <v>4</v>
      </c>
      <c r="D101" s="13">
        <f>J101+K101+L101+M101+N101</f>
        <v>180164.72653261331</v>
      </c>
      <c r="E101" s="13">
        <v>282179.67123285698</v>
      </c>
      <c r="F101" s="12">
        <v>1.0641670739695701</v>
      </c>
      <c r="G101" s="13">
        <v>19863.1783561796</v>
      </c>
      <c r="H101" s="13">
        <v>6506.5697069746102</v>
      </c>
      <c r="I101" s="13">
        <v>4873.61028676154</v>
      </c>
      <c r="J101" s="13">
        <v>31243.358349915699</v>
      </c>
      <c r="K101" s="13">
        <v>50899.9452054371</v>
      </c>
      <c r="L101" s="13">
        <v>77281.720548983998</v>
      </c>
      <c r="M101" s="13">
        <v>19309.308438346699</v>
      </c>
      <c r="N101" s="13">
        <v>1430.39398992981</v>
      </c>
      <c r="O101">
        <v>0</v>
      </c>
      <c r="P101">
        <f t="shared" ref="P101" si="25">D101+$P$1</f>
        <v>300724.39835160982</v>
      </c>
      <c r="Q101" s="4">
        <v>1453.7288077599201</v>
      </c>
      <c r="R101">
        <v>14136.371585592</v>
      </c>
      <c r="S101" s="4">
        <v>107.91123347780101</v>
      </c>
      <c r="T101" s="12">
        <v>-4.2490908058638102</v>
      </c>
      <c r="U101">
        <v>13013.5923280234</v>
      </c>
      <c r="V101" s="4">
        <v>351.71871156820202</v>
      </c>
    </row>
    <row r="102" spans="1:22" x14ac:dyDescent="0.4">
      <c r="K102" s="13">
        <f>SUM(K100:M100)-SUM(K101:M101)</f>
        <v>-831.26776848098962</v>
      </c>
    </row>
    <row r="106" spans="1:22" x14ac:dyDescent="0.4">
      <c r="A106" s="7" t="s">
        <v>37</v>
      </c>
    </row>
    <row r="108" spans="1:22" x14ac:dyDescent="0.4">
      <c r="A108" t="s">
        <v>32</v>
      </c>
      <c r="B108" t="s">
        <v>33</v>
      </c>
      <c r="C108" t="s">
        <v>2</v>
      </c>
    </row>
    <row r="109" spans="1:22" x14ac:dyDescent="0.4">
      <c r="A109">
        <v>20</v>
      </c>
      <c r="B109">
        <v>60</v>
      </c>
      <c r="C109">
        <v>2</v>
      </c>
      <c r="D109">
        <f t="shared" ref="D109:D115" si="26">J109+K109+L109+M109+N109</f>
        <v>120712.69088313227</v>
      </c>
      <c r="E109">
        <v>282179.67123285501</v>
      </c>
      <c r="F109">
        <v>0.854946898908852</v>
      </c>
      <c r="G109">
        <v>18681.222424938602</v>
      </c>
      <c r="H109">
        <v>5354.6114985546601</v>
      </c>
      <c r="I109">
        <v>8156.08309050551</v>
      </c>
      <c r="J109">
        <v>32191.917013998798</v>
      </c>
      <c r="K109">
        <v>51372.124296964801</v>
      </c>
      <c r="L109">
        <v>16725.325417965501</v>
      </c>
      <c r="M109">
        <v>19407.285599838699</v>
      </c>
      <c r="N109">
        <v>1016.03855436447</v>
      </c>
      <c r="O109">
        <v>0</v>
      </c>
      <c r="P109">
        <f t="shared" ref="P109:P115" si="27">D109+$P$1</f>
        <v>241272.36270212877</v>
      </c>
      <c r="Q109">
        <v>1192.7637589594799</v>
      </c>
      <c r="R109">
        <v>19736.206339365101</v>
      </c>
      <c r="S109">
        <v>481.37088632597801</v>
      </c>
      <c r="T109" s="6">
        <v>0.12591688076390301</v>
      </c>
    </row>
    <row r="110" spans="1:22" x14ac:dyDescent="0.4">
      <c r="A110">
        <v>20</v>
      </c>
      <c r="B110">
        <v>50</v>
      </c>
      <c r="C110">
        <v>2</v>
      </c>
      <c r="D110">
        <f t="shared" si="26"/>
        <v>119392.42354269064</v>
      </c>
      <c r="E110">
        <v>282254.81855225202</v>
      </c>
      <c r="F110">
        <v>0.85006146065890897</v>
      </c>
      <c r="G110">
        <v>19407.840072768398</v>
      </c>
      <c r="H110">
        <v>5891.8301217549197</v>
      </c>
      <c r="I110">
        <v>6659.4942697455399</v>
      </c>
      <c r="J110">
        <v>31959.164464268899</v>
      </c>
      <c r="K110">
        <v>51102.045942938203</v>
      </c>
      <c r="L110">
        <v>15967.176494174801</v>
      </c>
      <c r="M110">
        <v>19353.573908279199</v>
      </c>
      <c r="N110">
        <v>1010.46273302954</v>
      </c>
      <c r="O110">
        <v>0</v>
      </c>
      <c r="P110">
        <f t="shared" si="27"/>
        <v>239952.09536168716</v>
      </c>
      <c r="Q110">
        <v>1312.43161993582</v>
      </c>
      <c r="R110">
        <v>18377.616631847999</v>
      </c>
      <c r="S110">
        <v>459.4404157962</v>
      </c>
      <c r="T110" s="6">
        <v>0.14758705239613301</v>
      </c>
    </row>
    <row r="111" spans="1:22" x14ac:dyDescent="0.4">
      <c r="A111">
        <v>20</v>
      </c>
      <c r="B111">
        <v>40</v>
      </c>
      <c r="C111">
        <v>2</v>
      </c>
      <c r="D111">
        <f t="shared" si="26"/>
        <v>117777.02945340994</v>
      </c>
      <c r="E111">
        <v>282179.67123287299</v>
      </c>
      <c r="F111">
        <v>0.84456314023622803</v>
      </c>
      <c r="G111">
        <v>19298.245593088301</v>
      </c>
      <c r="H111">
        <v>5682.0016560700296</v>
      </c>
      <c r="I111">
        <v>5350.3346939491703</v>
      </c>
      <c r="J111">
        <v>30330.5819431075</v>
      </c>
      <c r="K111">
        <v>51097.733915068202</v>
      </c>
      <c r="L111">
        <v>15987.901266609</v>
      </c>
      <c r="M111">
        <v>19350.349595595701</v>
      </c>
      <c r="N111">
        <v>1010.46273302954</v>
      </c>
      <c r="O111">
        <v>0</v>
      </c>
      <c r="P111">
        <f t="shared" si="27"/>
        <v>238336.70127240644</v>
      </c>
      <c r="Q111">
        <v>1265.6913868611</v>
      </c>
      <c r="R111">
        <v>17746.163883660702</v>
      </c>
      <c r="S111">
        <v>507.03325381887902</v>
      </c>
      <c r="T111" s="6">
        <v>-0.25983751983286502</v>
      </c>
    </row>
    <row r="112" spans="1:22" x14ac:dyDescent="0.4">
      <c r="A112">
        <v>20</v>
      </c>
      <c r="B112">
        <v>30</v>
      </c>
      <c r="C112">
        <v>2</v>
      </c>
      <c r="D112">
        <f t="shared" si="26"/>
        <v>116625.1695160947</v>
      </c>
      <c r="E112">
        <v>282182.50548365602</v>
      </c>
      <c r="F112">
        <v>0.84045954058697003</v>
      </c>
      <c r="G112">
        <v>19302.752565837702</v>
      </c>
      <c r="H112">
        <v>6226.5181629292701</v>
      </c>
      <c r="I112">
        <v>3974.5318253822402</v>
      </c>
      <c r="J112">
        <v>29503.802554149199</v>
      </c>
      <c r="K112">
        <v>51013.610661725899</v>
      </c>
      <c r="L112">
        <v>15760.601295416</v>
      </c>
      <c r="M112">
        <v>19332.981882301501</v>
      </c>
      <c r="N112">
        <v>1014.17312250211</v>
      </c>
      <c r="O112">
        <v>0</v>
      </c>
      <c r="P112">
        <f t="shared" si="27"/>
        <v>237184.84133509122</v>
      </c>
      <c r="Q112">
        <v>1386.9848841974899</v>
      </c>
      <c r="R112">
        <v>18436.445202769701</v>
      </c>
      <c r="S112">
        <v>209.50505912238299</v>
      </c>
      <c r="T112" s="6">
        <v>0.28049716262959101</v>
      </c>
    </row>
    <row r="113" spans="1:20" x14ac:dyDescent="0.4">
      <c r="A113" s="3">
        <v>20</v>
      </c>
      <c r="B113" s="3">
        <v>20</v>
      </c>
      <c r="C113" s="3">
        <v>2</v>
      </c>
      <c r="D113">
        <f t="shared" si="26"/>
        <v>115198.459983006</v>
      </c>
      <c r="E113">
        <v>282179.67123297497</v>
      </c>
      <c r="F113">
        <v>0.83541194997266699</v>
      </c>
      <c r="G113">
        <v>19351.2255529412</v>
      </c>
      <c r="H113">
        <v>6002.0469674603501</v>
      </c>
      <c r="I113">
        <v>2645.4376652921501</v>
      </c>
      <c r="J113">
        <v>27998.710185693701</v>
      </c>
      <c r="K113">
        <v>51033.4442867088</v>
      </c>
      <c r="L113">
        <v>15815.1228903871</v>
      </c>
      <c r="M113">
        <v>19337.009497714302</v>
      </c>
      <c r="N113">
        <v>1014.17312250211</v>
      </c>
      <c r="O113">
        <v>0</v>
      </c>
      <c r="P113">
        <f t="shared" si="27"/>
        <v>235758.13180200252</v>
      </c>
      <c r="Q113">
        <v>1336.98290493166</v>
      </c>
      <c r="R113">
        <v>18577.307877855899</v>
      </c>
      <c r="S113">
        <v>432.030415764091</v>
      </c>
      <c r="T113" s="6">
        <v>-0.122490141098651</v>
      </c>
    </row>
    <row r="114" spans="1:20" x14ac:dyDescent="0.4">
      <c r="A114">
        <v>20</v>
      </c>
      <c r="B114">
        <v>15</v>
      </c>
      <c r="C114">
        <v>2</v>
      </c>
      <c r="D114">
        <f t="shared" si="26"/>
        <v>114451.25872361983</v>
      </c>
      <c r="E114">
        <v>282179.67123267101</v>
      </c>
      <c r="F114">
        <v>0.83277713625127903</v>
      </c>
      <c r="G114">
        <v>19390.977969205</v>
      </c>
      <c r="H114">
        <v>5599.5405456203798</v>
      </c>
      <c r="I114">
        <v>2128.1287863747102</v>
      </c>
      <c r="J114">
        <v>27118.647301200101</v>
      </c>
      <c r="K114">
        <v>51068.507704320902</v>
      </c>
      <c r="L114">
        <v>15909.3558282099</v>
      </c>
      <c r="M114">
        <v>19344.285156859401</v>
      </c>
      <c r="N114">
        <v>1010.46273302954</v>
      </c>
      <c r="O114">
        <v>0</v>
      </c>
      <c r="P114">
        <f t="shared" si="27"/>
        <v>235010.93054261635</v>
      </c>
      <c r="Q114">
        <v>1247.3228025527501</v>
      </c>
      <c r="R114">
        <v>16417.502561416801</v>
      </c>
      <c r="S114">
        <v>469.07150175476602</v>
      </c>
      <c r="T114" s="6">
        <v>0.46004655114715598</v>
      </c>
    </row>
    <row r="115" spans="1:20" x14ac:dyDescent="0.4">
      <c r="A115">
        <v>20</v>
      </c>
      <c r="B115">
        <v>12</v>
      </c>
      <c r="C115">
        <v>2</v>
      </c>
      <c r="D115">
        <f t="shared" si="26"/>
        <v>114787.7594081375</v>
      </c>
      <c r="E115">
        <v>282179.67123287602</v>
      </c>
      <c r="F115">
        <v>0.83403396920434802</v>
      </c>
      <c r="G115">
        <v>20436.472361711199</v>
      </c>
      <c r="H115">
        <v>4946.5396722567002</v>
      </c>
      <c r="I115">
        <v>2967.9237851293901</v>
      </c>
      <c r="J115">
        <v>28350.9358190973</v>
      </c>
      <c r="K115">
        <v>50843.184005923598</v>
      </c>
      <c r="L115">
        <v>15303.798385783</v>
      </c>
      <c r="M115">
        <v>19297.530489448302</v>
      </c>
      <c r="N115">
        <v>992.31070788530405</v>
      </c>
      <c r="O115">
        <v>0</v>
      </c>
      <c r="P115">
        <f t="shared" si="27"/>
        <v>235347.43122713402</v>
      </c>
      <c r="Q115">
        <v>1101.8639118583401</v>
      </c>
      <c r="R115">
        <v>13.380488321454299</v>
      </c>
      <c r="S115">
        <v>2.67609766429086</v>
      </c>
      <c r="T115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N26" sqref="N26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/>
      <c r="E8" s="10"/>
      <c r="F8" s="10"/>
      <c r="G8" s="10"/>
      <c r="H8" s="10"/>
      <c r="I8" s="10"/>
      <c r="J8" s="10"/>
      <c r="K8" s="10"/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4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4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2026-08-13T21:30:31Z</dcterms:modified>
</cp:coreProperties>
</file>