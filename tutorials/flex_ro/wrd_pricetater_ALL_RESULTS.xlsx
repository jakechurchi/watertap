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B2E049B6-A2C8-4593-8E7F-51E288AB2F85}" xr6:coauthVersionLast="47" xr6:coauthVersionMax="47" xr10:uidLastSave="{00000000-0000-0000-0000-000000000000}"/>
  <bookViews>
    <workbookView xWindow="57480" yWindow="8430" windowWidth="29040" windowHeight="15720" activeTab="1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2" l="1"/>
  <c r="J19" i="2"/>
  <c r="I19" i="2"/>
  <c r="H19" i="2"/>
  <c r="G19" i="2"/>
  <c r="F19" i="2"/>
  <c r="E19" i="2"/>
  <c r="K21" i="2"/>
  <c r="J21" i="2"/>
  <c r="I21" i="2"/>
  <c r="H21" i="2"/>
  <c r="G21" i="2"/>
  <c r="F21" i="2"/>
  <c r="E21" i="2"/>
  <c r="D13" i="2"/>
  <c r="D10" i="2"/>
  <c r="D7" i="2"/>
  <c r="D4" i="2"/>
  <c r="K17" i="2"/>
  <c r="J17" i="2"/>
  <c r="I17" i="2"/>
  <c r="H17" i="2"/>
  <c r="G17" i="2"/>
  <c r="F17" i="2"/>
  <c r="E17" i="2"/>
  <c r="N33" i="1"/>
  <c r="M33" i="1"/>
  <c r="L33" i="1"/>
  <c r="K33" i="1"/>
  <c r="J33" i="1"/>
  <c r="I33" i="1"/>
  <c r="H33" i="1"/>
  <c r="G33" i="1"/>
  <c r="F33" i="1"/>
  <c r="E33" i="1"/>
  <c r="D60" i="1"/>
  <c r="P60" i="1" s="1"/>
  <c r="K26" i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D62" i="1"/>
  <c r="P62" i="1" s="1"/>
  <c r="K20" i="1"/>
  <c r="D32" i="1"/>
  <c r="P32" i="1" s="1"/>
  <c r="V33" i="1"/>
  <c r="U33" i="1"/>
  <c r="T33" i="1"/>
  <c r="S33" i="1"/>
  <c r="R33" i="1"/>
  <c r="Q33" i="1"/>
  <c r="O33" i="1"/>
  <c r="V72" i="1"/>
  <c r="U72" i="1"/>
  <c r="T72" i="1"/>
  <c r="S72" i="1"/>
  <c r="R72" i="1"/>
  <c r="Q72" i="1"/>
  <c r="O72" i="1"/>
  <c r="N72" i="1"/>
  <c r="M72" i="1"/>
  <c r="L72" i="1"/>
  <c r="K72" i="1"/>
  <c r="J72" i="1"/>
  <c r="I72" i="1"/>
  <c r="H72" i="1"/>
  <c r="G72" i="1"/>
  <c r="F72" i="1"/>
  <c r="E72" i="1"/>
  <c r="N82" i="1"/>
  <c r="M82" i="1"/>
  <c r="L82" i="1"/>
  <c r="K82" i="1"/>
  <c r="J82" i="1"/>
  <c r="I82" i="1"/>
  <c r="H82" i="1"/>
  <c r="G82" i="1"/>
  <c r="F82" i="1"/>
  <c r="E82" i="1"/>
  <c r="D68" i="1"/>
  <c r="P68" i="1" s="1"/>
  <c r="P72" i="1" s="1"/>
  <c r="O61" i="1"/>
  <c r="D61" i="1" s="1"/>
  <c r="P61" i="1" s="1"/>
  <c r="D81" i="1"/>
  <c r="P81" i="1" s="1"/>
  <c r="D47" i="1"/>
  <c r="P47" i="1" s="1"/>
  <c r="D99" i="1"/>
  <c r="P99" i="1" s="1"/>
  <c r="D98" i="1"/>
  <c r="P98" i="1" s="1"/>
  <c r="D97" i="1"/>
  <c r="P97" i="1" s="1"/>
  <c r="D96" i="1"/>
  <c r="P96" i="1" s="1"/>
  <c r="D95" i="1"/>
  <c r="P95" i="1" s="1"/>
  <c r="D94" i="1"/>
  <c r="P94" i="1" s="1"/>
  <c r="D93" i="1"/>
  <c r="P93" i="1" s="1"/>
  <c r="D84" i="1"/>
  <c r="P84" i="1" s="1"/>
  <c r="D80" i="1"/>
  <c r="P80" i="1" s="1"/>
  <c r="D78" i="1"/>
  <c r="P78" i="1" s="1"/>
  <c r="D77" i="1"/>
  <c r="P77" i="1" s="1"/>
  <c r="D75" i="1"/>
  <c r="P75" i="1" s="1"/>
  <c r="D74" i="1"/>
  <c r="P74" i="1" s="1"/>
  <c r="D57" i="1"/>
  <c r="P57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21" i="2" l="1"/>
  <c r="D19" i="2"/>
  <c r="D17" i="2"/>
  <c r="P64" i="1"/>
  <c r="D33" i="1"/>
  <c r="D64" i="1"/>
  <c r="P33" i="1"/>
  <c r="D82" i="1"/>
  <c r="P82" i="1" s="1"/>
  <c r="D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7" authorId="13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60" authorId="14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5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6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3" authorId="17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71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8" authorId="19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4" authorId="20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6" authorId="21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tc={2A87BE78-C559-43AE-95E9-B9B1CDADA8AE}</author>
    <author>tc={FFA36925-C069-4696-AC82-F35BD29C01EC}</author>
    <author>tc={B28B570C-C764-4378-B61D-458DE4F990EC}</author>
    <author>tc={FA61E68B-2D13-4D2E-B802-33BC32E35571}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0" authorId="3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0" authorId="4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3" authorId="5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3" authorId="6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J17" authorId="7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19" authorId="8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<sst xmlns="http://schemas.openxmlformats.org/spreadsheetml/2006/main" count="198" uniqueCount="57">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</sst>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7" dT="2026-06-02T17:16:43.70" personId="{114E4FE4-B7B1-4FA3-A72A-3A97E9B9C3CF}" id="{7C262D24-4F73-4A8D-BEED-4FCDB02EBE54}">
    <text>Result from the fast solve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2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3" dT="2026-07-22T21:09:49.14" personId="{114E4FE4-B7B1-4FA3-A72A-3A97E9B9C3CF}" id="{0EBBD83F-AB64-4248-87E6-B99F88EE5F88}">
    <text>Only one plant shutdown allowed</text>
  </threadedComment>
  <threadedComment ref="A71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8" dT="2026-07-21T19:23:55.41" personId="{114E4FE4-B7B1-4FA3-A72A-3A97E9B9C3CF}" id="{4644E393-F522-4E79-88BA-041770B595A7}">
    <text>Pretty sure this solution is wrong, but I don’t think I need this case for the paper</text>
  </threadedComment>
  <threadedComment ref="A84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6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10" dT="2026-07-22T19:29:10.19" personId="{114E4FE4-B7B1-4FA3-A72A-3A97E9B9C3CF}" id="{2A87BE78-C559-43AE-95E9-B9B1CDADA8AE}">
    <text>Solution where there is a shutdown for all peak hours</text>
  </threadedComment>
  <threadedComment ref="A10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0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3" dT="2026-07-22T21:09:49.14" personId="{114E4FE4-B7B1-4FA3-A72A-3A97E9B9C3CF}" id="{B28B570C-C764-4378-B61D-458DE4F990EC}">
    <text>Only one plant shutdown allowed</text>
  </threadedComment>
  <threadedComment ref="J13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3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J17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19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9"/>
  <sheetViews>
    <sheetView zoomScale="110" zoomScaleNormal="110" workbookViewId="0">
      <selection activeCell="E3" sqref="E3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  <c r="K26">
        <f>K25+L25+M25</f>
        <v>86355.755432219594</v>
      </c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11" t="s">
        <v>45</v>
      </c>
      <c r="B33" s="11"/>
      <c r="C33" s="11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>O32-O31</f>
        <v>0</v>
      </c>
      <c r="P33">
        <f>P32-P31</f>
        <v>785.66289527932531</v>
      </c>
      <c r="Q33">
        <f>Q32-Q31</f>
        <v>200.21086642008004</v>
      </c>
      <c r="R33">
        <f>R32-R31</f>
        <v>20835.930555410298</v>
      </c>
      <c r="S33">
        <f>S32-S31</f>
        <v>397.33849572936299</v>
      </c>
      <c r="T33">
        <f>T32-T31</f>
        <v>-0.1359304574304484</v>
      </c>
      <c r="U33">
        <f>U32-U31</f>
        <v>25293.846976061999</v>
      </c>
      <c r="V33">
        <f>V32-V31</f>
        <v>200.18128127969257</v>
      </c>
    </row>
    <row r="34" spans="1:22" x14ac:dyDescent="0.4">
      <c r="A34" s="2"/>
      <c r="B34" s="2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7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7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8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8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9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0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0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0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0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0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t="s">
        <v>22</v>
      </c>
      <c r="B57" t="s">
        <v>21</v>
      </c>
      <c r="C57">
        <v>4</v>
      </c>
      <c r="D57">
        <f>J57+K57+L57+M57+N57</f>
        <v>125434.46212050831</v>
      </c>
      <c r="E57">
        <v>282179.67123444699</v>
      </c>
      <c r="F57">
        <v>0.87159189967643702</v>
      </c>
      <c r="G57" s="4">
        <v>21072.189860718699</v>
      </c>
      <c r="H57">
        <v>9188.7245080883695</v>
      </c>
      <c r="I57">
        <v>2618.8827210474601</v>
      </c>
      <c r="J57">
        <v>32879.797089854597</v>
      </c>
      <c r="K57">
        <v>50904.118537438801</v>
      </c>
      <c r="L57">
        <v>20591.7266090095</v>
      </c>
      <c r="M57">
        <v>20017.890938119701</v>
      </c>
      <c r="N57">
        <v>1040.9289460857101</v>
      </c>
      <c r="O57">
        <v>0</v>
      </c>
      <c r="P57">
        <f t="shared" si="10"/>
        <v>245994.13393950483</v>
      </c>
      <c r="Q57">
        <v>1458.3752411216699</v>
      </c>
      <c r="R57">
        <v>35012.612233571497</v>
      </c>
      <c r="S57">
        <v>875.31530583928895</v>
      </c>
      <c r="T57">
        <v>0.51444695802960605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1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1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1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1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11" t="s">
        <v>44</v>
      </c>
      <c r="B64" s="11"/>
      <c r="C64" s="11"/>
      <c r="D64" s="10">
        <f>D63-D62</f>
        <v>486.66028698880109</v>
      </c>
      <c r="E64">
        <f t="shared" ref="E64:V64" si="12">E63-E62</f>
        <v>-1.0599615052342415E-7</v>
      </c>
      <c r="F64">
        <f t="shared" si="12"/>
        <v>1.8194475210779881E-3</v>
      </c>
      <c r="G64">
        <f t="shared" si="12"/>
        <v>-214.21539764659974</v>
      </c>
      <c r="H64">
        <f t="shared" si="12"/>
        <v>-624.4983606493397</v>
      </c>
      <c r="I64">
        <f t="shared" si="12"/>
        <v>4877.8861089948059</v>
      </c>
      <c r="J64">
        <f t="shared" si="12"/>
        <v>4039.1723506987983</v>
      </c>
      <c r="K64">
        <f t="shared" si="12"/>
        <v>183.72486634590314</v>
      </c>
      <c r="L64">
        <f t="shared" si="12"/>
        <v>-3232.9060902373021</v>
      </c>
      <c r="M64">
        <f t="shared" si="12"/>
        <v>-476.58002357000078</v>
      </c>
      <c r="N64">
        <f t="shared" si="12"/>
        <v>-26.750816248570118</v>
      </c>
      <c r="O64">
        <f t="shared" si="12"/>
        <v>0</v>
      </c>
      <c r="P64">
        <f t="shared" si="12"/>
        <v>486.66028698880109</v>
      </c>
      <c r="Q64">
        <f t="shared" si="12"/>
        <v>-139.52840101139986</v>
      </c>
      <c r="R64">
        <f t="shared" si="12"/>
        <v>-16066.151948654198</v>
      </c>
      <c r="S64">
        <f t="shared" si="12"/>
        <v>-545.80690098968103</v>
      </c>
      <c r="T64">
        <f t="shared" si="12"/>
        <v>0.30386414961436203</v>
      </c>
      <c r="U64">
        <f t="shared" si="12"/>
        <v>-23556.497919273097</v>
      </c>
      <c r="V64">
        <f t="shared" si="12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1" t="s">
        <v>42</v>
      </c>
      <c r="G66" s="4"/>
    </row>
    <row r="67" spans="1:22" x14ac:dyDescent="0.4">
      <c r="A67" s="3" t="s">
        <v>20</v>
      </c>
      <c r="B67" s="3" t="s">
        <v>23</v>
      </c>
      <c r="C67" s="3">
        <v>0</v>
      </c>
      <c r="G67" s="4"/>
    </row>
    <row r="68" spans="1:22" x14ac:dyDescent="0.4">
      <c r="A68" t="s">
        <v>22</v>
      </c>
      <c r="B68" t="s">
        <v>23</v>
      </c>
      <c r="C68">
        <v>0</v>
      </c>
      <c r="D68">
        <f>J68+K68+L68+M68+N68-O68</f>
        <v>125093.23428318274</v>
      </c>
      <c r="E68">
        <v>282190.859999999</v>
      </c>
      <c r="F68">
        <v>0.86904083066499505</v>
      </c>
      <c r="G68">
        <v>24203.497764766002</v>
      </c>
      <c r="H68">
        <v>4932.7238161263904</v>
      </c>
      <c r="I68">
        <v>9098.5748223234004</v>
      </c>
      <c r="J68">
        <v>38234.796403215798</v>
      </c>
      <c r="K68">
        <v>50845.200000000099</v>
      </c>
      <c r="L68">
        <v>15304.405199999899</v>
      </c>
      <c r="M68">
        <v>19298.29566</v>
      </c>
      <c r="N68">
        <v>1409.83742959549</v>
      </c>
      <c r="O68">
        <v>-0.69959037146548997</v>
      </c>
      <c r="P68">
        <f>D68+$P$1</f>
        <v>245652.90610217926</v>
      </c>
      <c r="Q68">
        <v>1102.0926609763501</v>
      </c>
      <c r="R68">
        <v>0</v>
      </c>
      <c r="U68">
        <v>15.5670440273115</v>
      </c>
      <c r="V68">
        <v>9.2660976353045002E-2</v>
      </c>
    </row>
    <row r="69" spans="1:22" x14ac:dyDescent="0.4">
      <c r="A69" s="3"/>
      <c r="B69" s="3"/>
      <c r="C69" s="3"/>
      <c r="G69" s="4"/>
    </row>
    <row r="70" spans="1:22" x14ac:dyDescent="0.4">
      <c r="A70" s="3" t="s">
        <v>20</v>
      </c>
      <c r="B70" s="3" t="s">
        <v>21</v>
      </c>
      <c r="C70" s="3">
        <v>4</v>
      </c>
      <c r="G70" s="4"/>
    </row>
    <row r="71" spans="1:22" x14ac:dyDescent="0.4">
      <c r="A71" t="s">
        <v>22</v>
      </c>
      <c r="B71" t="s">
        <v>21</v>
      </c>
      <c r="C71">
        <v>4</v>
      </c>
      <c r="D71">
        <v>108832.74020782999</v>
      </c>
      <c r="E71">
        <v>282179.67123306898</v>
      </c>
      <c r="F71">
        <v>0.81644691741250097</v>
      </c>
      <c r="G71">
        <v>19728.523245555101</v>
      </c>
      <c r="H71">
        <v>6281.7321988746498</v>
      </c>
      <c r="I71" s="8">
        <v>9.8877442286147301E-6</v>
      </c>
      <c r="J71">
        <v>26010.255454317499</v>
      </c>
      <c r="K71">
        <v>50944.9452054754</v>
      </c>
      <c r="L71">
        <v>20235.614943009699</v>
      </c>
      <c r="M71">
        <v>19962.024605027898</v>
      </c>
      <c r="N71">
        <v>1462.3779549220301</v>
      </c>
      <c r="O71">
        <v>8320.1</v>
      </c>
      <c r="P71">
        <v>230384.72273471201</v>
      </c>
      <c r="Q71">
        <v>1403.49453592792</v>
      </c>
      <c r="R71">
        <v>34518.506961381201</v>
      </c>
      <c r="S71">
        <v>841.91480393612801</v>
      </c>
      <c r="T71">
        <v>0.38784649209264499</v>
      </c>
      <c r="U71">
        <v>38264.627438579002</v>
      </c>
      <c r="V71">
        <v>301.29627904392902</v>
      </c>
    </row>
    <row r="72" spans="1:22" x14ac:dyDescent="0.4">
      <c r="A72" s="5"/>
      <c r="B72" s="5"/>
      <c r="D72">
        <f>D71-D68</f>
        <v>-16260.494075352748</v>
      </c>
      <c r="E72">
        <f t="shared" ref="E72:V72" si="13">E71-E68</f>
        <v>-11.188766930019483</v>
      </c>
      <c r="F72">
        <f t="shared" si="13"/>
        <v>-5.2593913252494073E-2</v>
      </c>
      <c r="G72">
        <f t="shared" si="13"/>
        <v>-4474.9745192109003</v>
      </c>
      <c r="H72">
        <f t="shared" si="13"/>
        <v>1349.0083827482595</v>
      </c>
      <c r="I72">
        <f t="shared" si="13"/>
        <v>-9098.574812435656</v>
      </c>
      <c r="J72">
        <f t="shared" si="13"/>
        <v>-12224.540948898299</v>
      </c>
      <c r="K72">
        <f t="shared" si="13"/>
        <v>99.745205475301191</v>
      </c>
      <c r="L72">
        <f t="shared" si="13"/>
        <v>4931.2097430098001</v>
      </c>
      <c r="M72">
        <f t="shared" si="13"/>
        <v>663.72894502789859</v>
      </c>
      <c r="N72">
        <f t="shared" si="13"/>
        <v>52.540525326540092</v>
      </c>
      <c r="O72">
        <f t="shared" si="13"/>
        <v>8320.7995903714655</v>
      </c>
      <c r="P72">
        <f t="shared" si="13"/>
        <v>-15268.183367467253</v>
      </c>
      <c r="Q72">
        <f t="shared" si="13"/>
        <v>301.40187495156988</v>
      </c>
      <c r="R72">
        <f t="shared" si="13"/>
        <v>34518.506961381201</v>
      </c>
      <c r="S72">
        <f t="shared" si="13"/>
        <v>841.91480393612801</v>
      </c>
      <c r="T72">
        <f t="shared" si="13"/>
        <v>0.38784649209264499</v>
      </c>
      <c r="U72">
        <f t="shared" si="13"/>
        <v>38249.060394551692</v>
      </c>
      <c r="V72">
        <f t="shared" si="13"/>
        <v>301.20361806757597</v>
      </c>
    </row>
    <row r="73" spans="1:22" x14ac:dyDescent="0.4">
      <c r="A73" s="1" t="s">
        <v>31</v>
      </c>
    </row>
    <row r="74" spans="1:22" x14ac:dyDescent="0.4">
      <c r="A74" s="3" t="s">
        <v>20</v>
      </c>
      <c r="B74" s="3" t="s">
        <v>23</v>
      </c>
      <c r="C74">
        <v>0</v>
      </c>
      <c r="D74">
        <f>J74+K74+L74+M74+N74</f>
        <v>116023.2890300647</v>
      </c>
      <c r="E74">
        <v>282179.67123287602</v>
      </c>
      <c r="F74">
        <v>0.83841249022441</v>
      </c>
      <c r="G74">
        <v>20114.092712805999</v>
      </c>
      <c r="H74">
        <v>6942.2846600808298</v>
      </c>
      <c r="I74">
        <v>2530.0880681377598</v>
      </c>
      <c r="J74">
        <v>29586.4654410246</v>
      </c>
      <c r="K74">
        <v>50843.184005923598</v>
      </c>
      <c r="L74">
        <v>15303.798385783</v>
      </c>
      <c r="M74">
        <v>19297.5304894482</v>
      </c>
      <c r="N74">
        <v>992.31070788530405</v>
      </c>
      <c r="O74">
        <v>0</v>
      </c>
      <c r="P74">
        <f t="shared" ref="P74:P75" si="14">D74+$P$1</f>
        <v>236582.9608490612</v>
      </c>
      <c r="Q74">
        <v>1101.8347602124099</v>
      </c>
      <c r="R74">
        <v>0</v>
      </c>
      <c r="S74">
        <v>0</v>
      </c>
      <c r="T74">
        <v>0</v>
      </c>
    </row>
    <row r="75" spans="1:22" x14ac:dyDescent="0.4">
      <c r="A75" s="3" t="s">
        <v>22</v>
      </c>
      <c r="B75" s="3" t="s">
        <v>23</v>
      </c>
      <c r="C75">
        <v>0</v>
      </c>
      <c r="D75">
        <f>J75+K75+L75+M75+N75</f>
        <v>125763.55741733511</v>
      </c>
      <c r="E75">
        <v>282179.67125180899</v>
      </c>
      <c r="F75">
        <v>0.87293045648394496</v>
      </c>
      <c r="G75">
        <v>22626.697961956499</v>
      </c>
      <c r="H75">
        <v>7102.5767129513297</v>
      </c>
      <c r="I75">
        <v>9597.4591384874802</v>
      </c>
      <c r="J75">
        <v>39326.733813395302</v>
      </c>
      <c r="K75">
        <v>50843.184011688398</v>
      </c>
      <c r="L75">
        <v>15303.798393134501</v>
      </c>
      <c r="M75">
        <v>19297.530491231599</v>
      </c>
      <c r="N75">
        <v>992.31070788530405</v>
      </c>
      <c r="O75">
        <v>0</v>
      </c>
      <c r="P75">
        <f t="shared" si="14"/>
        <v>246323.22923633162</v>
      </c>
      <c r="Q75">
        <v>1127.27501714903</v>
      </c>
      <c r="R75">
        <v>0</v>
      </c>
      <c r="S75">
        <v>0</v>
      </c>
      <c r="T75">
        <v>0</v>
      </c>
    </row>
    <row r="76" spans="1:22" x14ac:dyDescent="0.4">
      <c r="A76" s="1"/>
    </row>
    <row r="77" spans="1:22" x14ac:dyDescent="0.4">
      <c r="A77" t="s">
        <v>20</v>
      </c>
      <c r="B77" t="s">
        <v>21</v>
      </c>
      <c r="C77">
        <v>2</v>
      </c>
      <c r="D77">
        <f>J77+K77+L77+M77+N77</f>
        <v>116706.4157905087</v>
      </c>
      <c r="E77">
        <v>282179.67125387199</v>
      </c>
      <c r="F77">
        <v>0.840833383054163</v>
      </c>
      <c r="G77" s="4">
        <v>20578.507216446698</v>
      </c>
      <c r="H77">
        <v>7102.57515066207</v>
      </c>
      <c r="I77">
        <v>2588.5052959285099</v>
      </c>
      <c r="J77">
        <v>30269.587663037299</v>
      </c>
      <c r="K77">
        <v>50843.185173268597</v>
      </c>
      <c r="L77">
        <v>15303.8015139941</v>
      </c>
      <c r="M77">
        <v>19297.530732323401</v>
      </c>
      <c r="N77">
        <v>992.31070788530405</v>
      </c>
      <c r="O77">
        <v>0</v>
      </c>
      <c r="P77">
        <f t="shared" ref="P77:P78" si="15">D77+$P$1</f>
        <v>237266.08760950522</v>
      </c>
      <c r="Q77">
        <v>1127.2750356983099</v>
      </c>
      <c r="R77">
        <v>0</v>
      </c>
    </row>
    <row r="78" spans="1:22" x14ac:dyDescent="0.4">
      <c r="A78" s="2" t="s">
        <v>22</v>
      </c>
      <c r="B78" s="2" t="s">
        <v>21</v>
      </c>
      <c r="C78">
        <v>2</v>
      </c>
      <c r="D78">
        <f>J78+K78+L78+M78+N78</f>
        <v>121633.35860365373</v>
      </c>
      <c r="E78">
        <v>282179.67123287602</v>
      </c>
      <c r="F78">
        <v>0.85824890324911396</v>
      </c>
      <c r="G78" s="4">
        <v>20824.7129679639</v>
      </c>
      <c r="H78">
        <v>7456.39074483072</v>
      </c>
      <c r="I78">
        <v>5114.4587365303096</v>
      </c>
      <c r="J78">
        <v>33395.562449324898</v>
      </c>
      <c r="K78">
        <v>51302.320205525801</v>
      </c>
      <c r="L78">
        <v>16537.7269222135</v>
      </c>
      <c r="M78">
        <v>19392.801250865799</v>
      </c>
      <c r="N78">
        <v>1004.9477757237401</v>
      </c>
      <c r="O78">
        <v>0</v>
      </c>
      <c r="P78">
        <f t="shared" si="15"/>
        <v>242193.03042265025</v>
      </c>
      <c r="Q78">
        <v>1183.4303612998101</v>
      </c>
      <c r="R78">
        <v>15931.1957490451</v>
      </c>
      <c r="S78">
        <v>346.33034237054602</v>
      </c>
      <c r="T78">
        <v>1.0959871186973</v>
      </c>
    </row>
    <row r="80" spans="1:22" x14ac:dyDescent="0.4">
      <c r="A80" t="s">
        <v>20</v>
      </c>
      <c r="B80" t="s">
        <v>21</v>
      </c>
      <c r="C80">
        <v>4</v>
      </c>
      <c r="D80">
        <f>J80+K80+L80+M80+N80</f>
        <v>116706.4157905051</v>
      </c>
      <c r="E80">
        <v>282179.671253876</v>
      </c>
      <c r="F80">
        <v>0.84083338305413902</v>
      </c>
      <c r="G80" s="4">
        <v>20578.5072164468</v>
      </c>
      <c r="H80">
        <v>7102.5751506616798</v>
      </c>
      <c r="I80">
        <v>2588.50529592865</v>
      </c>
      <c r="J80">
        <v>30269.587663037099</v>
      </c>
      <c r="K80">
        <v>50843.185173268197</v>
      </c>
      <c r="L80">
        <v>15303.8015139912</v>
      </c>
      <c r="M80">
        <v>19297.530732323299</v>
      </c>
      <c r="N80">
        <v>992.31070788530405</v>
      </c>
      <c r="O80">
        <v>0</v>
      </c>
      <c r="P80">
        <f t="shared" ref="P80:P82" si="16">D80+$P$1</f>
        <v>237266.08760950161</v>
      </c>
      <c r="Q80">
        <v>1127.2750356983499</v>
      </c>
      <c r="R80">
        <v>0</v>
      </c>
    </row>
    <row r="81" spans="1:22" x14ac:dyDescent="0.4">
      <c r="A81" t="s">
        <v>22</v>
      </c>
      <c r="B81" t="s">
        <v>21</v>
      </c>
      <c r="C81">
        <v>4</v>
      </c>
      <c r="D81">
        <f>J81+K81+L81+M81+N81</f>
        <v>121744.79706913032</v>
      </c>
      <c r="E81">
        <v>282179.88376308198</v>
      </c>
      <c r="F81">
        <v>0.85713546401894802</v>
      </c>
      <c r="G81">
        <v>21291.5607898614</v>
      </c>
      <c r="H81">
        <v>7432.3603175362596</v>
      </c>
      <c r="I81">
        <v>5035.2758648834497</v>
      </c>
      <c r="J81">
        <v>33759.196972281097</v>
      </c>
      <c r="K81">
        <v>51128.3645002267</v>
      </c>
      <c r="L81">
        <v>16070.129576240101</v>
      </c>
      <c r="M81">
        <v>19356.7120304526</v>
      </c>
      <c r="N81">
        <v>1430.39398992981</v>
      </c>
      <c r="O81">
        <v>0</v>
      </c>
      <c r="P81">
        <f t="shared" si="16"/>
        <v>242304.46888812684</v>
      </c>
      <c r="Q81">
        <v>1179.61640190856</v>
      </c>
      <c r="R81">
        <v>13411.4010346792</v>
      </c>
      <c r="S81">
        <v>478.97860838140201</v>
      </c>
      <c r="T81">
        <v>0.22564405635506199</v>
      </c>
      <c r="U81">
        <v>10550.3210016294</v>
      </c>
      <c r="V81">
        <v>75.359435725924598</v>
      </c>
    </row>
    <row r="82" spans="1:22" x14ac:dyDescent="0.4">
      <c r="D82">
        <f>D81-D75</f>
        <v>-4018.7603482047853</v>
      </c>
      <c r="E82">
        <f t="shared" ref="E82:N82" si="17">E81-E75</f>
        <v>0.21251127298455685</v>
      </c>
      <c r="F82">
        <f t="shared" si="17"/>
        <v>-1.5794992464996938E-2</v>
      </c>
      <c r="G82">
        <f t="shared" si="17"/>
        <v>-1335.1371720950992</v>
      </c>
      <c r="H82">
        <f t="shared" si="17"/>
        <v>329.78360458492989</v>
      </c>
      <c r="I82">
        <f t="shared" si="17"/>
        <v>-4562.1832736040305</v>
      </c>
      <c r="J82">
        <f t="shared" si="17"/>
        <v>-5567.5368411142044</v>
      </c>
      <c r="K82">
        <f t="shared" si="17"/>
        <v>285.1804885383026</v>
      </c>
      <c r="L82">
        <f t="shared" si="17"/>
        <v>766.33118310559985</v>
      </c>
      <c r="M82">
        <f t="shared" si="17"/>
        <v>59.181539221001003</v>
      </c>
      <c r="N82">
        <f t="shared" si="17"/>
        <v>438.08328204450595</v>
      </c>
      <c r="P82">
        <f t="shared" si="16"/>
        <v>116540.91147079173</v>
      </c>
    </row>
    <row r="83" spans="1:22" x14ac:dyDescent="0.4">
      <c r="A83" s="1" t="s">
        <v>34</v>
      </c>
      <c r="G83" s="4"/>
    </row>
    <row r="84" spans="1:22" x14ac:dyDescent="0.4">
      <c r="A84" t="s">
        <v>22</v>
      </c>
      <c r="B84" t="s">
        <v>21</v>
      </c>
      <c r="C84">
        <v>4</v>
      </c>
      <c r="D84">
        <f>J84+K84+L84+M84+N84</f>
        <v>147118.48206815872</v>
      </c>
      <c r="E84">
        <v>355610.364944759</v>
      </c>
      <c r="F84">
        <v>0.75267772890587503</v>
      </c>
      <c r="G84">
        <v>25765.651662743599</v>
      </c>
      <c r="H84">
        <v>7150.9042815892099</v>
      </c>
      <c r="I84">
        <v>5144.3184852884797</v>
      </c>
      <c r="J84">
        <v>38060.874429621297</v>
      </c>
      <c r="K84">
        <v>64168.339029134899</v>
      </c>
      <c r="L84">
        <v>19539.954214541001</v>
      </c>
      <c r="M84">
        <v>24338.851661831999</v>
      </c>
      <c r="N84">
        <v>1010.46273302954</v>
      </c>
      <c r="O84">
        <v>0</v>
      </c>
      <c r="P84">
        <f t="shared" ref="P84" si="18">D84+$P$1</f>
        <v>267678.15388715523</v>
      </c>
      <c r="Q84">
        <v>1597.68911089628</v>
      </c>
      <c r="R84">
        <v>13084.0423994256</v>
      </c>
      <c r="S84">
        <v>467.28722855091399</v>
      </c>
      <c r="T84">
        <v>-0.25904927491985202</v>
      </c>
    </row>
    <row r="85" spans="1:22" x14ac:dyDescent="0.4">
      <c r="A85" t="s">
        <v>22</v>
      </c>
      <c r="B85" t="s">
        <v>35</v>
      </c>
      <c r="C85" t="s">
        <v>35</v>
      </c>
      <c r="D85" t="s">
        <v>36</v>
      </c>
      <c r="E85" t="s">
        <v>36</v>
      </c>
      <c r="F85" t="s">
        <v>36</v>
      </c>
      <c r="G85" s="4">
        <v>28838</v>
      </c>
      <c r="H85">
        <v>7567.5</v>
      </c>
      <c r="I85">
        <v>13764.1</v>
      </c>
      <c r="J85">
        <v>50169.7</v>
      </c>
      <c r="K85" t="s">
        <v>36</v>
      </c>
      <c r="L85" t="s">
        <v>36</v>
      </c>
      <c r="M85" t="s">
        <v>36</v>
      </c>
      <c r="N85" t="s">
        <v>36</v>
      </c>
    </row>
    <row r="87" spans="1:22" hidden="1" x14ac:dyDescent="0.4">
      <c r="A87" s="1" t="s">
        <v>26</v>
      </c>
      <c r="G87" s="4"/>
      <c r="P87" t="s">
        <v>15</v>
      </c>
      <c r="Q87" t="s">
        <v>16</v>
      </c>
      <c r="R87" t="s">
        <v>17</v>
      </c>
      <c r="S87" t="s">
        <v>18</v>
      </c>
      <c r="T87" t="s">
        <v>19</v>
      </c>
    </row>
    <row r="88" spans="1:22" hidden="1" x14ac:dyDescent="0.4">
      <c r="A88" t="s">
        <v>0</v>
      </c>
      <c r="B88" t="s">
        <v>1</v>
      </c>
      <c r="C88" t="s">
        <v>2</v>
      </c>
      <c r="D88" t="s">
        <v>3</v>
      </c>
      <c r="E88" t="s">
        <v>4</v>
      </c>
      <c r="F88" t="s">
        <v>5</v>
      </c>
      <c r="G88" s="4" t="s">
        <v>6</v>
      </c>
      <c r="H88" t="s">
        <v>7</v>
      </c>
      <c r="I88" t="s">
        <v>8</v>
      </c>
      <c r="J88" t="s">
        <v>9</v>
      </c>
      <c r="K88" t="s">
        <v>10</v>
      </c>
      <c r="L88" t="s">
        <v>11</v>
      </c>
      <c r="M88" t="s">
        <v>12</v>
      </c>
      <c r="N88" t="s">
        <v>13</v>
      </c>
      <c r="O88" t="s">
        <v>14</v>
      </c>
      <c r="P88">
        <v>63734.6679</v>
      </c>
      <c r="Q88">
        <v>1078.4492829999999</v>
      </c>
      <c r="R88">
        <v>624.70352849999995</v>
      </c>
      <c r="S88">
        <v>13.014656840000001</v>
      </c>
      <c r="T88">
        <v>27.514184579999998</v>
      </c>
    </row>
    <row r="89" spans="1:22" hidden="1" x14ac:dyDescent="0.4">
      <c r="A89" s="2" t="s">
        <v>20</v>
      </c>
      <c r="B89" t="s">
        <v>21</v>
      </c>
      <c r="C89">
        <v>4</v>
      </c>
      <c r="D89">
        <v>29525.427309999999</v>
      </c>
      <c r="E89">
        <v>80391.755990000005</v>
      </c>
      <c r="F89">
        <v>0.79280104200000001</v>
      </c>
      <c r="G89" s="4">
        <v>5050.6365619999997</v>
      </c>
      <c r="H89">
        <v>4678.3390820000004</v>
      </c>
      <c r="I89">
        <v>2508.6600360000002</v>
      </c>
      <c r="J89">
        <v>12237.635679999999</v>
      </c>
      <c r="K89">
        <v>13920</v>
      </c>
      <c r="L89">
        <v>2841.544922</v>
      </c>
      <c r="M89">
        <v>5380.5444360000001</v>
      </c>
      <c r="N89">
        <v>279.27307350000001</v>
      </c>
      <c r="O89">
        <v>0</v>
      </c>
      <c r="P89">
        <v>64865.028310000002</v>
      </c>
      <c r="Q89">
        <v>1191.7509680000001</v>
      </c>
      <c r="R89">
        <v>7243.7162129999997</v>
      </c>
      <c r="S89">
        <v>452.7322633</v>
      </c>
      <c r="T89">
        <v>5.8154128590000003</v>
      </c>
    </row>
    <row r="90" spans="1:22" x14ac:dyDescent="0.4">
      <c r="A90" s="7" t="s">
        <v>37</v>
      </c>
    </row>
    <row r="92" spans="1:22" x14ac:dyDescent="0.4">
      <c r="A92" t="s">
        <v>32</v>
      </c>
      <c r="B92" t="s">
        <v>33</v>
      </c>
      <c r="C92" t="s">
        <v>2</v>
      </c>
    </row>
    <row r="93" spans="1:22" x14ac:dyDescent="0.4">
      <c r="A93">
        <v>20</v>
      </c>
      <c r="B93">
        <v>60</v>
      </c>
      <c r="C93">
        <v>2</v>
      </c>
      <c r="D93">
        <f t="shared" ref="D93:D99" si="19">J93+K93+L93+M93+N93</f>
        <v>120712.69088313227</v>
      </c>
      <c r="E93">
        <v>282179.67123285501</v>
      </c>
      <c r="F93">
        <v>0.854946898908852</v>
      </c>
      <c r="G93">
        <v>18681.222424938602</v>
      </c>
      <c r="H93">
        <v>5354.6114985546601</v>
      </c>
      <c r="I93">
        <v>8156.08309050551</v>
      </c>
      <c r="J93">
        <v>32191.917013998798</v>
      </c>
      <c r="K93">
        <v>51372.124296964801</v>
      </c>
      <c r="L93">
        <v>16725.325417965501</v>
      </c>
      <c r="M93">
        <v>19407.285599838699</v>
      </c>
      <c r="N93">
        <v>1016.03855436447</v>
      </c>
      <c r="O93">
        <v>0</v>
      </c>
      <c r="P93">
        <f t="shared" ref="P93:P99" si="20">D93+$P$1</f>
        <v>241272.36270212877</v>
      </c>
      <c r="Q93">
        <v>1192.7637589594799</v>
      </c>
      <c r="R93">
        <v>19736.206339365101</v>
      </c>
      <c r="S93">
        <v>481.37088632597801</v>
      </c>
      <c r="T93" s="6">
        <v>0.12591688076390301</v>
      </c>
    </row>
    <row r="94" spans="1:22" x14ac:dyDescent="0.4">
      <c r="A94">
        <v>20</v>
      </c>
      <c r="B94">
        <v>50</v>
      </c>
      <c r="C94">
        <v>2</v>
      </c>
      <c r="D94">
        <f t="shared" si="19"/>
        <v>119392.42354269064</v>
      </c>
      <c r="E94">
        <v>282254.81855225202</v>
      </c>
      <c r="F94">
        <v>0.85006146065890897</v>
      </c>
      <c r="G94">
        <v>19407.840072768398</v>
      </c>
      <c r="H94">
        <v>5891.8301217549197</v>
      </c>
      <c r="I94">
        <v>6659.4942697455399</v>
      </c>
      <c r="J94">
        <v>31959.164464268899</v>
      </c>
      <c r="K94">
        <v>51102.045942938203</v>
      </c>
      <c r="L94">
        <v>15967.176494174801</v>
      </c>
      <c r="M94">
        <v>19353.573908279199</v>
      </c>
      <c r="N94">
        <v>1010.46273302954</v>
      </c>
      <c r="O94">
        <v>0</v>
      </c>
      <c r="P94">
        <f t="shared" si="20"/>
        <v>239952.09536168716</v>
      </c>
      <c r="Q94">
        <v>1312.43161993582</v>
      </c>
      <c r="R94">
        <v>18377.616631847999</v>
      </c>
      <c r="S94">
        <v>459.4404157962</v>
      </c>
      <c r="T94" s="6">
        <v>0.14758705239613301</v>
      </c>
    </row>
    <row r="95" spans="1:22" x14ac:dyDescent="0.4">
      <c r="A95">
        <v>20</v>
      </c>
      <c r="B95">
        <v>40</v>
      </c>
      <c r="C95">
        <v>2</v>
      </c>
      <c r="D95">
        <f t="shared" si="19"/>
        <v>117777.02945340994</v>
      </c>
      <c r="E95">
        <v>282179.67123287299</v>
      </c>
      <c r="F95">
        <v>0.84456314023622803</v>
      </c>
      <c r="G95">
        <v>19298.245593088301</v>
      </c>
      <c r="H95">
        <v>5682.0016560700296</v>
      </c>
      <c r="I95">
        <v>5350.3346939491703</v>
      </c>
      <c r="J95">
        <v>30330.5819431075</v>
      </c>
      <c r="K95">
        <v>51097.733915068202</v>
      </c>
      <c r="L95">
        <v>15987.901266609</v>
      </c>
      <c r="M95">
        <v>19350.349595595701</v>
      </c>
      <c r="N95">
        <v>1010.46273302954</v>
      </c>
      <c r="O95">
        <v>0</v>
      </c>
      <c r="P95">
        <f t="shared" si="20"/>
        <v>238336.70127240644</v>
      </c>
      <c r="Q95">
        <v>1265.6913868611</v>
      </c>
      <c r="R95">
        <v>17746.163883660702</v>
      </c>
      <c r="S95">
        <v>507.03325381887902</v>
      </c>
      <c r="T95" s="6">
        <v>-0.25983751983286502</v>
      </c>
    </row>
    <row r="96" spans="1:22" x14ac:dyDescent="0.4">
      <c r="A96">
        <v>20</v>
      </c>
      <c r="B96">
        <v>30</v>
      </c>
      <c r="C96">
        <v>2</v>
      </c>
      <c r="D96">
        <f t="shared" si="19"/>
        <v>116625.1695160947</v>
      </c>
      <c r="E96">
        <v>282182.50548365602</v>
      </c>
      <c r="F96">
        <v>0.84045954058697003</v>
      </c>
      <c r="G96">
        <v>19302.752565837702</v>
      </c>
      <c r="H96">
        <v>6226.5181629292701</v>
      </c>
      <c r="I96">
        <v>3974.5318253822402</v>
      </c>
      <c r="J96">
        <v>29503.802554149199</v>
      </c>
      <c r="K96">
        <v>51013.610661725899</v>
      </c>
      <c r="L96">
        <v>15760.601295416</v>
      </c>
      <c r="M96">
        <v>19332.981882301501</v>
      </c>
      <c r="N96">
        <v>1014.17312250211</v>
      </c>
      <c r="O96">
        <v>0</v>
      </c>
      <c r="P96">
        <f t="shared" si="20"/>
        <v>237184.84133509122</v>
      </c>
      <c r="Q96">
        <v>1386.9848841974899</v>
      </c>
      <c r="R96">
        <v>18436.445202769701</v>
      </c>
      <c r="S96">
        <v>209.50505912238299</v>
      </c>
      <c r="T96" s="6">
        <v>0.28049716262959101</v>
      </c>
    </row>
    <row r="97" spans="1:20" x14ac:dyDescent="0.4">
      <c r="A97" s="3">
        <v>20</v>
      </c>
      <c r="B97" s="3">
        <v>20</v>
      </c>
      <c r="C97" s="3">
        <v>2</v>
      </c>
      <c r="D97">
        <f t="shared" si="19"/>
        <v>115198.459983006</v>
      </c>
      <c r="E97">
        <v>282179.67123297497</v>
      </c>
      <c r="F97">
        <v>0.83541194997266699</v>
      </c>
      <c r="G97">
        <v>19351.2255529412</v>
      </c>
      <c r="H97">
        <v>6002.0469674603501</v>
      </c>
      <c r="I97">
        <v>2645.4376652921501</v>
      </c>
      <c r="J97">
        <v>27998.710185693701</v>
      </c>
      <c r="K97">
        <v>51033.4442867088</v>
      </c>
      <c r="L97">
        <v>15815.1228903871</v>
      </c>
      <c r="M97">
        <v>19337.009497714302</v>
      </c>
      <c r="N97">
        <v>1014.17312250211</v>
      </c>
      <c r="O97">
        <v>0</v>
      </c>
      <c r="P97">
        <f t="shared" si="20"/>
        <v>235758.13180200252</v>
      </c>
      <c r="Q97">
        <v>1336.98290493166</v>
      </c>
      <c r="R97">
        <v>18577.307877855899</v>
      </c>
      <c r="S97">
        <v>432.030415764091</v>
      </c>
      <c r="T97" s="6">
        <v>-0.122490141098651</v>
      </c>
    </row>
    <row r="98" spans="1:20" x14ac:dyDescent="0.4">
      <c r="A98">
        <v>20</v>
      </c>
      <c r="B98">
        <v>15</v>
      </c>
      <c r="C98">
        <v>2</v>
      </c>
      <c r="D98">
        <f t="shared" si="19"/>
        <v>114451.25872361983</v>
      </c>
      <c r="E98">
        <v>282179.67123267101</v>
      </c>
      <c r="F98">
        <v>0.83277713625127903</v>
      </c>
      <c r="G98">
        <v>19390.977969205</v>
      </c>
      <c r="H98">
        <v>5599.5405456203798</v>
      </c>
      <c r="I98">
        <v>2128.1287863747102</v>
      </c>
      <c r="J98">
        <v>27118.647301200101</v>
      </c>
      <c r="K98">
        <v>51068.507704320902</v>
      </c>
      <c r="L98">
        <v>15909.3558282099</v>
      </c>
      <c r="M98">
        <v>19344.285156859401</v>
      </c>
      <c r="N98">
        <v>1010.46273302954</v>
      </c>
      <c r="O98">
        <v>0</v>
      </c>
      <c r="P98">
        <f t="shared" si="20"/>
        <v>235010.93054261635</v>
      </c>
      <c r="Q98">
        <v>1247.3228025527501</v>
      </c>
      <c r="R98">
        <v>16417.502561416801</v>
      </c>
      <c r="S98">
        <v>469.07150175476602</v>
      </c>
      <c r="T98" s="6">
        <v>0.46004655114715598</v>
      </c>
    </row>
    <row r="99" spans="1:20" x14ac:dyDescent="0.4">
      <c r="A99">
        <v>20</v>
      </c>
      <c r="B99">
        <v>12</v>
      </c>
      <c r="C99">
        <v>2</v>
      </c>
      <c r="D99">
        <f t="shared" si="19"/>
        <v>114787.7594081375</v>
      </c>
      <c r="E99">
        <v>282179.67123287602</v>
      </c>
      <c r="F99">
        <v>0.83403396920434802</v>
      </c>
      <c r="G99">
        <v>20436.472361711199</v>
      </c>
      <c r="H99">
        <v>4946.5396722567002</v>
      </c>
      <c r="I99">
        <v>2967.9237851293901</v>
      </c>
      <c r="J99">
        <v>28350.9358190973</v>
      </c>
      <c r="K99">
        <v>50843.184005923598</v>
      </c>
      <c r="L99">
        <v>15303.798385783</v>
      </c>
      <c r="M99">
        <v>19297.530489448302</v>
      </c>
      <c r="N99">
        <v>992.31070788530405</v>
      </c>
      <c r="O99">
        <v>0</v>
      </c>
      <c r="P99">
        <f t="shared" si="20"/>
        <v>235347.43122713402</v>
      </c>
      <c r="Q99">
        <v>1101.8639118583401</v>
      </c>
      <c r="R99">
        <v>13.380488321454299</v>
      </c>
      <c r="S99">
        <v>2.67609766429086</v>
      </c>
      <c r="T99" s="6">
        <v>-198.021555533488</v>
      </c>
    </row>
  </sheetData>
  <mergeCells count="2">
    <mergeCell ref="A64:C64"/>
    <mergeCell ref="A33:C3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21"/>
  <sheetViews>
    <sheetView tabSelected="1" workbookViewId="0">
      <selection activeCell="I29" sqref="I29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2" t="s">
        <v>50</v>
      </c>
    </row>
    <row r="7" spans="1:16" ht="14.6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2"/>
    </row>
    <row r="8" spans="1:16" x14ac:dyDescent="0.4">
      <c r="D8" s="10"/>
      <c r="E8" s="10"/>
      <c r="F8" s="10"/>
      <c r="G8" s="10"/>
      <c r="H8" s="10"/>
      <c r="I8" s="10"/>
      <c r="J8" s="10"/>
      <c r="K8" s="10"/>
      <c r="M8" s="12"/>
    </row>
    <row r="9" spans="1:16" x14ac:dyDescent="0.4">
      <c r="A9" s="3" t="s">
        <v>49</v>
      </c>
      <c r="D9" s="10"/>
      <c r="E9" s="10"/>
      <c r="F9" s="10"/>
      <c r="G9" s="10"/>
      <c r="H9" s="10"/>
      <c r="I9" s="10"/>
      <c r="J9" s="10"/>
      <c r="K9" s="10"/>
      <c r="M9" s="12"/>
    </row>
    <row r="10" spans="1:16" x14ac:dyDescent="0.4">
      <c r="A10" s="3" t="s">
        <v>22</v>
      </c>
      <c r="B10" s="3" t="s">
        <v>21</v>
      </c>
      <c r="C10">
        <v>4</v>
      </c>
      <c r="D10" s="10">
        <f>H10+I10+J10+K10</f>
        <v>117112.9202243583</v>
      </c>
      <c r="E10" s="10">
        <v>19617.269555424798</v>
      </c>
      <c r="F10" s="10">
        <v>6177.79087142139</v>
      </c>
      <c r="G10" s="10">
        <v>1.4897343661976701E-5</v>
      </c>
      <c r="H10" s="10">
        <v>25795.060441743601</v>
      </c>
      <c r="I10" s="10">
        <v>50989.945229661498</v>
      </c>
      <c r="J10" s="10">
        <v>20356.5524429125</v>
      </c>
      <c r="K10" s="10">
        <v>19971.3621100407</v>
      </c>
      <c r="L10">
        <v>11020</v>
      </c>
      <c r="M10" s="12"/>
    </row>
    <row r="11" spans="1:16" x14ac:dyDescent="0.4">
      <c r="A11" s="3"/>
      <c r="B11" s="3"/>
      <c r="D11" s="10"/>
      <c r="E11" s="10"/>
      <c r="F11" s="10"/>
      <c r="G11" s="10"/>
      <c r="H11" s="10"/>
      <c r="I11" s="10"/>
      <c r="J11" s="10"/>
      <c r="K11" s="10"/>
      <c r="M11" s="12"/>
    </row>
    <row r="12" spans="1:16" x14ac:dyDescent="0.4">
      <c r="A12" s="3" t="s">
        <v>46</v>
      </c>
      <c r="D12" s="10"/>
      <c r="E12" s="10"/>
      <c r="F12" s="10"/>
      <c r="G12" s="10"/>
      <c r="H12" s="10"/>
      <c r="I12" s="10"/>
      <c r="J12" s="10"/>
      <c r="K12" s="10"/>
    </row>
    <row r="13" spans="1:16" x14ac:dyDescent="0.4">
      <c r="A13" t="s">
        <v>22</v>
      </c>
      <c r="B13" t="s">
        <v>21</v>
      </c>
      <c r="C13">
        <v>4</v>
      </c>
      <c r="D13" s="10">
        <f>H13+I13+J13+K13</f>
        <v>117626.33139463789</v>
      </c>
      <c r="E13" s="10">
        <v>19403.054157778199</v>
      </c>
      <c r="F13" s="10">
        <v>5553.2925107720503</v>
      </c>
      <c r="G13" s="10">
        <v>4877.88612389215</v>
      </c>
      <c r="H13" s="10">
        <v>29834.232792442399</v>
      </c>
      <c r="I13" s="10">
        <v>51173.670096007401</v>
      </c>
      <c r="J13" s="10">
        <v>17123.646419717399</v>
      </c>
      <c r="K13" s="10">
        <v>19494.782086470699</v>
      </c>
      <c r="L13">
        <v>11020</v>
      </c>
    </row>
    <row r="16" spans="1:16" x14ac:dyDescent="0.4">
      <c r="A16" t="s">
        <v>51</v>
      </c>
      <c r="J16" t="s">
        <v>56</v>
      </c>
    </row>
    <row r="17" spans="1:12" x14ac:dyDescent="0.4">
      <c r="A17" t="s">
        <v>52</v>
      </c>
      <c r="D17" s="10">
        <f>D13-D4</f>
        <v>1271.9158797246782</v>
      </c>
      <c r="E17" s="10">
        <f t="shared" ref="E17:K17" si="0">E13-E4</f>
        <v>-437.48289297220254</v>
      </c>
      <c r="F17" s="10">
        <f t="shared" si="0"/>
        <v>272.65942815481048</v>
      </c>
      <c r="G17" s="10">
        <f t="shared" si="0"/>
        <v>0.39617456624000624</v>
      </c>
      <c r="H17" s="10">
        <f t="shared" si="0"/>
        <v>-164.42729025120207</v>
      </c>
      <c r="I17" s="10">
        <f t="shared" si="0"/>
        <v>96.534215612700791</v>
      </c>
      <c r="J17" s="10">
        <f t="shared" si="0"/>
        <v>1191.1023712935985</v>
      </c>
      <c r="K17" s="10">
        <f t="shared" si="0"/>
        <v>148.7065830695974</v>
      </c>
      <c r="L17" s="10"/>
    </row>
    <row r="19" spans="1:12" x14ac:dyDescent="0.4">
      <c r="A19" t="s">
        <v>55</v>
      </c>
      <c r="D19" s="10">
        <f>D7-D4</f>
        <v>759.28494035729091</v>
      </c>
      <c r="E19" s="10">
        <f>E7-E4</f>
        <v>-221.42920834019969</v>
      </c>
      <c r="F19" s="10">
        <f>F7-F4</f>
        <v>896.09976246881979</v>
      </c>
      <c r="G19" s="10">
        <f>G7-G4</f>
        <v>-4877.4899349639245</v>
      </c>
      <c r="H19" s="10">
        <f>H7-H4</f>
        <v>-4202.8193808354008</v>
      </c>
      <c r="I19" s="10">
        <f>I7-I4</f>
        <v>-87.19067491790338</v>
      </c>
      <c r="J19" s="10">
        <f>J7-J4</f>
        <v>4424.0083944886992</v>
      </c>
      <c r="K19" s="10">
        <f>K7-K4</f>
        <v>625.28660162189772</v>
      </c>
      <c r="L19" s="10"/>
    </row>
    <row r="21" spans="1:12" x14ac:dyDescent="0.4">
      <c r="A21" t="s">
        <v>53</v>
      </c>
      <c r="D21" s="10">
        <f>D13-D10</f>
        <v>513.41117027959262</v>
      </c>
      <c r="E21" s="10">
        <f>E13-E10</f>
        <v>-214.21539764659974</v>
      </c>
      <c r="F21" s="10">
        <f>F13-F10</f>
        <v>-624.4983606493397</v>
      </c>
      <c r="G21" s="10">
        <f>G13-G10</f>
        <v>4877.8861089948059</v>
      </c>
      <c r="H21" s="10">
        <f>H13-H10</f>
        <v>4039.1723506987983</v>
      </c>
      <c r="I21" s="10">
        <f>I13-I10</f>
        <v>183.72486634590314</v>
      </c>
      <c r="J21" s="10">
        <f>J13-J10</f>
        <v>-3232.9060231951007</v>
      </c>
      <c r="K21" s="10">
        <f>K13-K10</f>
        <v>-476.58002357000078</v>
      </c>
    </row>
  </sheetData>
  <mergeCells count="1">
    <mergeCell ref="M6:M11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2026-07-31T00:56:01Z</dcterms:modified>
</cp:coreProperties>
</file>