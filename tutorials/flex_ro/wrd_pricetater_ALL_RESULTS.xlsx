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watertap\tutorials\flex_ro\"/>
    </mc:Choice>
  </mc:AlternateContent>
  <xr:revisionPtr revIDLastSave="0" documentId="13_ncr:1_{2C0614E9-DA5F-431C-B2E4-0B44FFB88DC1}" xr6:coauthVersionLast="47" xr6:coauthVersionMax="47" xr10:uidLastSave="{00000000-0000-0000-0000-000000000000}"/>
  <bookViews>
    <workbookView xWindow="-80" yWindow="-80" windowWidth="19360" windowHeight="10240" xr2:uid="{C549BF93-41CE-4809-A3B1-A16DB1FF836F}"/>
  </bookViews>
  <sheets>
    <sheet name="wrd_pricetater_flex_type_summar" sheetId="1" r:id="rId1"/>
    <sheet name="Understanding DR Result" sheetId="2" r:id="rId2"/>
    <sheet name="SA - Start-Up Cost" sheetId="3" r:id="rId3"/>
    <sheet name="SA - Water Targ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2" i="1" l="1"/>
  <c r="N111" i="1"/>
  <c r="M111" i="1"/>
  <c r="L111" i="1"/>
  <c r="K111" i="1"/>
  <c r="K112" i="1" s="1"/>
  <c r="J111" i="1"/>
  <c r="I111" i="1"/>
  <c r="H111" i="1"/>
  <c r="G111" i="1"/>
  <c r="F111" i="1"/>
  <c r="E111" i="1"/>
  <c r="D111" i="1"/>
  <c r="J96" i="1"/>
  <c r="D67" i="1"/>
  <c r="D62" i="1"/>
  <c r="P67" i="1"/>
  <c r="K58" i="1"/>
  <c r="K89" i="1"/>
  <c r="D82" i="1"/>
  <c r="P82" i="1" s="1"/>
  <c r="P88" i="1"/>
  <c r="D88" i="1"/>
  <c r="D57" i="1"/>
  <c r="P57" i="1" s="1"/>
  <c r="D51" i="1"/>
  <c r="P51" i="1" s="1"/>
  <c r="Z15" i="3"/>
  <c r="AA15" i="3" s="1"/>
  <c r="G15" i="3"/>
  <c r="AA16" i="3"/>
  <c r="Z16" i="3"/>
  <c r="G16" i="3"/>
  <c r="Z19" i="3"/>
  <c r="AA19" i="3" s="1"/>
  <c r="G17" i="3"/>
  <c r="S17" i="3" s="1"/>
  <c r="G19" i="3"/>
  <c r="G18" i="3"/>
  <c r="AA18" i="3"/>
  <c r="Z18" i="3"/>
  <c r="Z5" i="3"/>
  <c r="Z13" i="3"/>
  <c r="Z17" i="3"/>
  <c r="AA17" i="3" s="1"/>
  <c r="G12" i="3"/>
  <c r="AB12" i="3" s="1"/>
  <c r="G11" i="3"/>
  <c r="Z12" i="3"/>
  <c r="AA12" i="3" s="1"/>
  <c r="Z10" i="3"/>
  <c r="I8" i="4"/>
  <c r="I6" i="4"/>
  <c r="I4" i="4"/>
  <c r="H5" i="4"/>
  <c r="H6" i="4"/>
  <c r="H7" i="4"/>
  <c r="H8" i="4"/>
  <c r="H4" i="4"/>
  <c r="C22" i="4"/>
  <c r="C21" i="4"/>
  <c r="C20" i="4"/>
  <c r="C19" i="4"/>
  <c r="C18" i="4"/>
  <c r="C16" i="4"/>
  <c r="C17" i="4"/>
  <c r="C15" i="4"/>
  <c r="C14" i="4"/>
  <c r="C13" i="4"/>
  <c r="E4" i="4"/>
  <c r="E8" i="4"/>
  <c r="E7" i="4"/>
  <c r="E6" i="4"/>
  <c r="E5" i="4"/>
  <c r="O13" i="3" l="1"/>
  <c r="G13" i="3" s="1"/>
  <c r="AB13" i="3" s="1"/>
  <c r="AB11" i="3"/>
  <c r="AB6" i="3"/>
  <c r="Y10" i="3"/>
  <c r="X10" i="3"/>
  <c r="W10" i="3"/>
  <c r="V10" i="3"/>
  <c r="U10" i="3"/>
  <c r="T10" i="3"/>
  <c r="S10" i="3"/>
  <c r="Q10" i="3"/>
  <c r="P10" i="3"/>
  <c r="O10" i="3"/>
  <c r="AA10" i="3" s="1"/>
  <c r="N10" i="3"/>
  <c r="M10" i="3"/>
  <c r="L10" i="3"/>
  <c r="K10" i="3"/>
  <c r="J10" i="3"/>
  <c r="I10" i="3"/>
  <c r="H10" i="3"/>
  <c r="Z9" i="3"/>
  <c r="G3" i="3"/>
  <c r="AB3" i="3" s="1"/>
  <c r="G4" i="3"/>
  <c r="AB4" i="3" s="1"/>
  <c r="G5" i="3"/>
  <c r="S5" i="3" s="1"/>
  <c r="G6" i="3"/>
  <c r="G7" i="3"/>
  <c r="AB7" i="3" s="1"/>
  <c r="Y9" i="3"/>
  <c r="X9" i="3"/>
  <c r="W9" i="3"/>
  <c r="V9" i="3"/>
  <c r="U9" i="3"/>
  <c r="T9" i="3"/>
  <c r="S9" i="3"/>
  <c r="Q9" i="3"/>
  <c r="P9" i="3"/>
  <c r="O9" i="3"/>
  <c r="AA9" i="3" s="1"/>
  <c r="N9" i="3"/>
  <c r="M9" i="3"/>
  <c r="L9" i="3"/>
  <c r="K9" i="3"/>
  <c r="J9" i="3"/>
  <c r="I9" i="3"/>
  <c r="H9" i="3"/>
  <c r="Z11" i="3"/>
  <c r="AA11" i="3" s="1"/>
  <c r="Z7" i="3"/>
  <c r="AA7" i="3" s="1"/>
  <c r="Z6" i="3"/>
  <c r="AA6" i="3" s="1"/>
  <c r="AA5" i="3"/>
  <c r="Z3" i="3"/>
  <c r="AA3" i="3" s="1"/>
  <c r="Z4" i="3"/>
  <c r="AA4" i="3" s="1"/>
  <c r="S11" i="3"/>
  <c r="S7" i="3"/>
  <c r="S6" i="3"/>
  <c r="K8" i="2"/>
  <c r="J8" i="2"/>
  <c r="I8" i="2"/>
  <c r="H8" i="2"/>
  <c r="G8" i="2"/>
  <c r="F8" i="2"/>
  <c r="E8" i="2"/>
  <c r="D8" i="2"/>
  <c r="D114" i="1"/>
  <c r="D110" i="1"/>
  <c r="P110" i="1" s="1"/>
  <c r="D109" i="1"/>
  <c r="P109" i="1" s="1"/>
  <c r="J98" i="1"/>
  <c r="P62" i="1"/>
  <c r="D97" i="1"/>
  <c r="P97" i="1" s="1"/>
  <c r="L105" i="1"/>
  <c r="D105" i="1" s="1"/>
  <c r="P105" i="1" s="1"/>
  <c r="L102" i="1"/>
  <c r="D102" i="1" s="1"/>
  <c r="P102" i="1" s="1"/>
  <c r="D106" i="1"/>
  <c r="P106" i="1" s="1"/>
  <c r="D103" i="1"/>
  <c r="P103" i="1" s="1"/>
  <c r="D91" i="1"/>
  <c r="P91" i="1" s="1"/>
  <c r="I11" i="2"/>
  <c r="I17" i="2"/>
  <c r="D78" i="1"/>
  <c r="K5" i="1"/>
  <c r="O71" i="1"/>
  <c r="N71" i="1"/>
  <c r="M71" i="1"/>
  <c r="L71" i="1"/>
  <c r="K71" i="1"/>
  <c r="J71" i="1"/>
  <c r="I71" i="1"/>
  <c r="H71" i="1"/>
  <c r="G71" i="1"/>
  <c r="F71" i="1"/>
  <c r="E71" i="1"/>
  <c r="D70" i="1"/>
  <c r="P70" i="1" s="1"/>
  <c r="K29" i="2"/>
  <c r="J29" i="2"/>
  <c r="I29" i="2"/>
  <c r="H29" i="2"/>
  <c r="G29" i="2"/>
  <c r="F29" i="2"/>
  <c r="E29" i="2"/>
  <c r="K31" i="2"/>
  <c r="J31" i="2"/>
  <c r="I31" i="2"/>
  <c r="H31" i="2"/>
  <c r="G31" i="2"/>
  <c r="F31" i="2"/>
  <c r="E31" i="2"/>
  <c r="D18" i="2"/>
  <c r="K25" i="2"/>
  <c r="J25" i="2"/>
  <c r="I25" i="2"/>
  <c r="H25" i="2"/>
  <c r="G25" i="2"/>
  <c r="F25" i="2"/>
  <c r="E25" i="2"/>
  <c r="K27" i="2"/>
  <c r="J27" i="2"/>
  <c r="I27" i="2"/>
  <c r="H27" i="2"/>
  <c r="G27" i="2"/>
  <c r="F27" i="2"/>
  <c r="E27" i="2"/>
  <c r="D16" i="2"/>
  <c r="D13" i="2"/>
  <c r="D7" i="2"/>
  <c r="D4" i="2"/>
  <c r="K23" i="2"/>
  <c r="J23" i="2"/>
  <c r="I23" i="2"/>
  <c r="H23" i="2"/>
  <c r="G23" i="2"/>
  <c r="F23" i="2"/>
  <c r="E23" i="2"/>
  <c r="N33" i="1"/>
  <c r="M33" i="1"/>
  <c r="L33" i="1"/>
  <c r="K33" i="1"/>
  <c r="J33" i="1"/>
  <c r="I33" i="1"/>
  <c r="H33" i="1"/>
  <c r="G33" i="1"/>
  <c r="F33" i="1"/>
  <c r="E33" i="1"/>
  <c r="D60" i="1"/>
  <c r="P60" i="1" s="1"/>
  <c r="V64" i="1"/>
  <c r="U64" i="1"/>
  <c r="T64" i="1"/>
  <c r="S64" i="1"/>
  <c r="R64" i="1"/>
  <c r="Q64" i="1"/>
  <c r="O64" i="1"/>
  <c r="N64" i="1"/>
  <c r="M64" i="1"/>
  <c r="L64" i="1"/>
  <c r="K64" i="1"/>
  <c r="J64" i="1"/>
  <c r="I64" i="1"/>
  <c r="H64" i="1"/>
  <c r="G64" i="1"/>
  <c r="F64" i="1"/>
  <c r="E64" i="1"/>
  <c r="D63" i="1"/>
  <c r="P63" i="1" s="1"/>
  <c r="K20" i="1"/>
  <c r="D32" i="1"/>
  <c r="P32" i="1" s="1"/>
  <c r="V33" i="1"/>
  <c r="U33" i="1"/>
  <c r="T33" i="1"/>
  <c r="S33" i="1"/>
  <c r="R33" i="1"/>
  <c r="Q33" i="1"/>
  <c r="O33" i="1"/>
  <c r="V79" i="1"/>
  <c r="U79" i="1"/>
  <c r="T79" i="1"/>
  <c r="S79" i="1"/>
  <c r="R79" i="1"/>
  <c r="Q79" i="1"/>
  <c r="O79" i="1"/>
  <c r="N79" i="1"/>
  <c r="M79" i="1"/>
  <c r="L79" i="1"/>
  <c r="K79" i="1"/>
  <c r="J79" i="1"/>
  <c r="I79" i="1"/>
  <c r="H79" i="1"/>
  <c r="G79" i="1"/>
  <c r="F79" i="1"/>
  <c r="E79" i="1"/>
  <c r="D75" i="1"/>
  <c r="P75" i="1" s="1"/>
  <c r="P79" i="1" s="1"/>
  <c r="O61" i="1"/>
  <c r="D61" i="1" s="1"/>
  <c r="P61" i="1" s="1"/>
  <c r="D47" i="1"/>
  <c r="P47" i="1" s="1"/>
  <c r="D125" i="1"/>
  <c r="P125" i="1" s="1"/>
  <c r="D124" i="1"/>
  <c r="P124" i="1" s="1"/>
  <c r="D123" i="1"/>
  <c r="P123" i="1" s="1"/>
  <c r="D122" i="1"/>
  <c r="P122" i="1" s="1"/>
  <c r="D121" i="1"/>
  <c r="P121" i="1" s="1"/>
  <c r="D120" i="1"/>
  <c r="P120" i="1" s="1"/>
  <c r="D119" i="1"/>
  <c r="P119" i="1" s="1"/>
  <c r="D87" i="1"/>
  <c r="P87" i="1" s="1"/>
  <c r="D85" i="1"/>
  <c r="P85" i="1" s="1"/>
  <c r="D84" i="1"/>
  <c r="P84" i="1" s="1"/>
  <c r="D81" i="1"/>
  <c r="P81" i="1" s="1"/>
  <c r="D56" i="1"/>
  <c r="P56" i="1" s="1"/>
  <c r="D54" i="1"/>
  <c r="P54" i="1" s="1"/>
  <c r="D53" i="1"/>
  <c r="P53" i="1" s="1"/>
  <c r="D50" i="1"/>
  <c r="P50" i="1" s="1"/>
  <c r="D44" i="1"/>
  <c r="P44" i="1" s="1"/>
  <c r="D40" i="1"/>
  <c r="P40" i="1" s="1"/>
  <c r="D39" i="1"/>
  <c r="P39" i="1" s="1"/>
  <c r="D37" i="1"/>
  <c r="P37" i="1" s="1"/>
  <c r="D36" i="1"/>
  <c r="P36" i="1" s="1"/>
  <c r="D31" i="1"/>
  <c r="P31" i="1" s="1"/>
  <c r="D30" i="1"/>
  <c r="P30" i="1" s="1"/>
  <c r="D28" i="1"/>
  <c r="P28" i="1" s="1"/>
  <c r="D27" i="1"/>
  <c r="P27" i="1" s="1"/>
  <c r="D25" i="1"/>
  <c r="P25" i="1" s="1"/>
  <c r="D24" i="1"/>
  <c r="P24" i="1" s="1"/>
  <c r="D22" i="1"/>
  <c r="P22" i="1" s="1"/>
  <c r="D19" i="1"/>
  <c r="P19" i="1" s="1"/>
  <c r="D18" i="1"/>
  <c r="P18" i="1" s="1"/>
  <c r="D13" i="1"/>
  <c r="P13" i="1" s="1"/>
  <c r="D12" i="1"/>
  <c r="P12" i="1" s="1"/>
  <c r="D10" i="1"/>
  <c r="P10" i="1" s="1"/>
  <c r="D9" i="1"/>
  <c r="P9" i="1" s="1"/>
  <c r="D7" i="1"/>
  <c r="P7" i="1" s="1"/>
  <c r="D6" i="1"/>
  <c r="P6" i="1" s="1"/>
  <c r="D4" i="1"/>
  <c r="P4" i="1" s="1"/>
  <c r="D3" i="1"/>
  <c r="P3" i="1" s="1"/>
  <c r="D115" i="1" l="1"/>
  <c r="P114" i="1"/>
  <c r="AB15" i="3"/>
  <c r="AB19" i="3"/>
  <c r="AB16" i="3"/>
  <c r="AB18" i="3"/>
  <c r="AB17" i="3"/>
  <c r="G9" i="3"/>
  <c r="AB9" i="3" s="1"/>
  <c r="AA13" i="3"/>
  <c r="AB5" i="3"/>
  <c r="G10" i="3"/>
  <c r="AB10" i="3" s="1"/>
  <c r="D17" i="2"/>
  <c r="K107" i="1"/>
  <c r="K104" i="1"/>
  <c r="D11" i="2"/>
  <c r="K72" i="1"/>
  <c r="P71" i="1"/>
  <c r="D71" i="1"/>
  <c r="D29" i="2"/>
  <c r="D31" i="2"/>
  <c r="D27" i="2"/>
  <c r="D25" i="2"/>
  <c r="D23" i="2"/>
  <c r="P64" i="1"/>
  <c r="D33" i="1"/>
  <c r="D64" i="1"/>
  <c r="P33" i="1"/>
  <c r="P89" i="1"/>
  <c r="D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tc={0A68C4F8-DD37-4E19-A8B1-830AE9F7EA20}</author>
    <author>tc={BBF7D234-FE30-40AB-877C-48487A60B475}</author>
    <author>tc={508D361C-2D0C-49BA-974D-6C72FE37C504}</author>
    <author>tc={F27CC18C-9CF0-4B96-A7C0-3CA554F9A587}</author>
    <author>tc={73C7F34A-BCA8-44F2-A992-5B81BCD419CF}</author>
    <author>tc={CD2318A4-5B8F-4EC0-9DFB-E52F2D041746}</author>
    <author>tc={DFECE21F-32E0-4210-824A-1E57B1730184}</author>
    <author>tc={7128E1A1-FC03-4EA4-B47C-4E0569E512E5}</author>
    <author>tc={FA39747C-8399-4DE8-BFC3-16508DD92F20}</author>
    <author>tc={0CE66D44-40D7-4762-8700-23B9C4E639CE}</author>
    <author>tc={FC7CAB31-3DEE-4F30-9288-CDF327BE04E1}</author>
    <author>tc={F9308CF0-AB74-4ABB-91B6-7382ECEADD39}</author>
    <author>tc={B12FED98-6BE9-4BE2-A887-4CF314FA442B}</author>
    <author>tc={7E28AC63-C308-4B0A-97A5-B41EEB6DBCFB}</author>
    <author>tc={B7EDEAAD-67C9-4693-A0FC-570282E02182}</author>
    <author>tc={0EBBD83F-AB64-4248-87E6-B99F88EE5F88}</author>
    <author>tc={4F558AE1-FE55-497E-AC12-603E221B46D5}</author>
    <author>tc={8E704477-0437-40A7-B175-85F6EA0FB52A}</author>
    <author>tc={9BC5A461-E691-49A7-9AA5-314B7AD6B728}</author>
    <author>tc={FD7ED5AD-FD5F-4506-A4A6-ADC8FF8FAC50}</author>
    <author>tc={72AFD5EA-5AA9-4CD2-944C-D32BC94D67D2}</author>
    <author>tc={4644E393-F522-4E79-88BA-041770B595A7}</author>
    <author>tc={9FF6B967-6104-43AC-8EED-15C48C9ACCA9}</author>
    <author>tc={3B63C6BF-9DE1-4172-A721-F97EE0406603}</author>
    <author>tc={FE798470-8A4D-4C72-9935-5EF1B8A7CFB6}</author>
    <author>tc={9D93D39A-4E12-4E91-8443-F39D5B5EA779}</author>
    <author>tc={9585276E-E9B8-4AFF-9F58-E3ADC73D024E}</author>
    <author>tc={86E634AB-9E52-4A6D-BE85-5D191C9227C6}</author>
  </authors>
  <commentList>
    <comment ref="D2" authorId="0" shapeId="0" xr:uid="{0A68C4F8-DD37-4E19-A8B1-830AE9F7EA2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a formula</t>
      </text>
    </comment>
    <comment ref="N2" authorId="1" shapeId="0" xr:uid="{BBF7D234-FE30-40AB-877C-48487A60B475}">
      <text>
        <t>[Threaded comment]
Your version of Excel allows you to read this threaded comment; however, any edits to it will get removed if the file is opened in a newer version of Excel. Learn more: https://go.microsoft.com/fwlink/?linkid=870924
Comment:
    By default, these numbers are incorrect. Only the green numbers are correct</t>
      </text>
    </comment>
    <comment ref="S2" authorId="2" shapeId="0" xr:uid="{508D361C-2D0C-49BA-974D-6C72FE37C5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isn’t being calculated correctly...</t>
      </text>
    </comment>
    <comment ref="A7" authorId="3" shapeId="0" xr:uid="{F27CC18C-9CF0-4B96-A7C0-3CA554F9A5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of course give the baseline because it is already at the maximum recovery- there is no potential for charging capacity</t>
      </text>
    </comment>
    <comment ref="A12" authorId="4" shapeId="0" xr:uid="{73C7F34A-BCA8-44F2-A992-5B81BCD419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result still make sense because: the recovery change would cause an extra cost that outweighs the tiny electricity savings.</t>
      </text>
    </comment>
    <comment ref="A16" authorId="5" shapeId="0" xr:uid="{CD2318A4-5B8F-4EC0-9DFB-E52F2D04174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the same as the baseline</t>
      </text>
    </comment>
    <comment ref="A25" authorId="6" shapeId="0" xr:uid="{DFECE21F-32E0-4210-824A-1E57B1730184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IMO the definition of “flexible trains is strange here. Shouldn’t the first two trains have operations totally fixed? Currently, this just prevents trains one and two from turning off
Reply:
    Which yields (somewhat obviously) the same result as 4 flexible trains</t>
      </text>
    </comment>
    <comment ref="Q27" authorId="7" shapeId="0" xr:uid="{7128E1A1-FC03-4EA4-B47C-4E0569E512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higher than the baseline because the solution is not optimal. It fails to optimize the UF pumps </t>
      </text>
    </comment>
    <comment ref="A28" authorId="8" shapeId="0" xr:uid="{FA39747C-8399-4DE8-BFC3-16508DD92F2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cannot be higher than the two flex trains case, so I think it’s fair to use the same solution for both.</t>
      </text>
    </comment>
    <comment ref="A32" authorId="9" shapeId="0" xr:uid="{0CE66D44-40D7-4762-8700-23B9C4E639C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Forced Five shutdowns</t>
      </text>
    </comment>
    <comment ref="A50" authorId="10" shapeId="0" xr:uid="{FC7CAB31-3DEE-4F30-9288-CDF327BE04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Winter is low winter weekdays + low weekends</t>
      </text>
    </comment>
    <comment ref="A51" authorId="11" shapeId="0" xr:uid="{F9308CF0-AB74-4ABB-91B6-7382ECEADD39}">
      <text>
        <t>[Threaded comment]
Your version of Excel allows you to read this threaded comment; however, any edits to it will get removed if the file is opened in a newer version of Excel. Learn more: https://go.microsoft.com/fwlink/?linkid=870924
Comment:
    Summer week = hot summer weekdays + high weekends</t>
      </text>
    </comment>
    <comment ref="A60" authorId="12" shapeId="0" xr:uid="{B12FED98-6BE9-4BE2-A887-4CF314FA442B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baseline power was used</t>
      </text>
    </comment>
    <comment ref="A61" authorId="13" shapeId="0" xr:uid="{7E28AC63-C308-4B0A-97A5-B41EEB6DBCFB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solution where there is only one plant shutdown.</t>
      </text>
    </comment>
    <comment ref="A62" authorId="14" shapeId="0" xr:uid="{B7EDEAAD-67C9-4693-A0FC-570282E02182}">
      <text>
        <t>[Threaded comment]
Your version of Excel allows you to read this threaded comment; however, any edits to it will get removed if the file is opened in a newer version of Excel. Learn more: https://go.microsoft.com/fwlink/?linkid=870924
Comment:
    Solution where there is a shutdown for all peak hours</t>
      </text>
    </comment>
    <comment ref="A63" authorId="15" shapeId="0" xr:uid="{0EBBD83F-AB64-4248-87E6-B99F88EE5F8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one plant shutdown allowed</t>
      </text>
    </comment>
    <comment ref="A66" authorId="16" shapeId="0" xr:uid="{4F558AE1-FE55-497E-AC12-603E221B46D5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Specifically 725 kW, which is the peak power for the optimal full flex solution</t>
      </text>
    </comment>
    <comment ref="A70" authorId="17" shapeId="0" xr:uid="{8E704477-0437-40A7-B175-85F6EA0FB5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this as the final result</t>
      </text>
    </comment>
    <comment ref="L71" authorId="18" shapeId="0" xr:uid="{9BC5A461-E691-49A7-9AA5-314B7AD6B728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some random lower recovery periods</t>
      </text>
    </comment>
    <comment ref="A78" authorId="19" shapeId="0" xr:uid="{FD7ED5AD-FD5F-4506-A4A6-ADC8FF8FAC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should be the same as the other DR solution, except for the demand response revenue
</t>
      </text>
    </comment>
    <comment ref="A80" authorId="20" shapeId="0" xr:uid="{72AFD5EA-5AA9-4CD2-944C-D32BC94D67D2}">
      <text>
        <t>[Threaded comment]
Your version of Excel allows you to read this threaded comment; however, any edits to it will get removed if the file is opened in a newer version of Excel. Learn more: https://go.microsoft.com/fwlink/?linkid=870924
Comment:
    If RED, result is using the 2026 rate, but I’m updating to the 2023 version</t>
      </text>
    </comment>
    <comment ref="A85" authorId="21" shapeId="0" xr:uid="{4644E393-F522-4E79-88BA-041770B59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Pretty sure this solution is wrong, but I don’t think I need this case for the paper</t>
      </text>
    </comment>
    <comment ref="A91" authorId="22" shapeId="0" xr:uid="{9FF6B967-6104-43AC-8EED-15C48C9ACC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flexibility metrics are all nonsense. Would have to run a baseline case for this to work.</t>
      </text>
    </comment>
    <comment ref="A103" authorId="23" shapeId="0" xr:uid="{3B63C6BF-9DE1-4172-A721-F97EE0406603}">
      <text>
        <t>[Threaded comment]
Your version of Excel allows you to read this threaded comment; however, any edits to it will get removed if the file is opened in a newer version of Excel. Learn more: https://go.microsoft.com/fwlink/?linkid=870924
Comment:
    2.5x higher brine costs (1.08$/m3)</t>
      </text>
    </comment>
    <comment ref="A106" authorId="24" shapeId="0" xr:uid="{FE798470-8A4D-4C72-9935-5EF1B8A7CFB6}">
      <text>
        <t>[Threaded comment]
Your version of Excel allows you to read this threaded comment; however, any edits to it will get removed if the file is opened in a newer version of Excel. Learn more: https://go.microsoft.com/fwlink/?linkid=870924
Comment:
    5x brine costs (2.15 $/m3)</t>
      </text>
    </comment>
    <comment ref="A109" authorId="25" shapeId="0" xr:uid="{9D93D39A-4E12-4E91-8443-F39D5B5EA77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Hours = 8 AM to 5 PM</t>
      </text>
    </comment>
    <comment ref="A114" authorId="26" shapeId="0" xr:uid="{9585276E-E9B8-4AFF-9F58-E3ADC73D024E}">
      <text>
        <t>[Threaded comment]
Your version of Excel allows you to read this threaded comment; however, any edits to it will get removed if the file is opened in a newer version of Excel. Learn more: https://go.microsoft.com/fwlink/?linkid=870924
Comment:
    Five Shutdowns</t>
      </text>
    </comment>
    <comment ref="T122" authorId="27" shapeId="0" xr:uid="{86E634AB-9E52-4A6D-BE85-5D191C9227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LVOF numbers are nonsense because the baseline costs are not the same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tc={D913FCAB-030D-49E3-A7A0-5803B7027754}</author>
    <author>tc={59DFC78E-5F9D-4D05-9892-2664283F148D}</author>
    <author>tc={5DA58C15-B5CA-4552-8F53-D4819003ECD4}</author>
    <author>tc={A01F3DDE-54D6-40A4-B739-116C1106945C}</author>
    <author>tc={430DB353-1291-4F52-9F24-0C56C9367687}</author>
    <author>tc={2A87BE78-C559-43AE-95E9-B9B1CDADA8AE}</author>
    <author>tc={FFA36925-C069-4696-AC82-F35BD29C01EC}</author>
    <author>tc={B28B570C-C764-4378-B61D-458DE4F990EC}</author>
    <author>tc={FA61E68B-2D13-4D2E-B802-33BC32E35571}</author>
    <author>tc={8E1FBD91-405E-4634-A247-E71AF8AA6758}</author>
    <author>tc={E1A102F6-1CF2-4D48-979A-0181ECF33C11}</author>
    <author>tc={1B8056AB-E255-474B-8036-2D14416413FE}</author>
  </authors>
  <commentList>
    <comment ref="J4" authorId="0" shapeId="0" xr:uid="{D913FCAB-030D-49E3-A7A0-5803B70277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 hrs = 133 m3/hr
41 hrs = 267 m3/hr (4 trains @ 91.3% RR)
Remainder = 222 m3/hr (3 trains @ 92.5%) 
</t>
      </text>
    </comment>
    <comment ref="A7" authorId="1" shapeId="0" xr:uid="{59DFC78E-5F9D-4D05-9892-2664283F148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Forced Five shutdowns</t>
      </text>
    </comment>
    <comment ref="J7" authorId="2" shapeId="0" xr:uid="{5DA58C15-B5CA-4552-8F53-D4819003ECD4}">
      <text>
        <t>[Threaded comment]
Your version of Excel allows you to read this threaded comment; however, any edits to it will get removed if the file is opened in a newer version of Excel. Learn more: https://go.microsoft.com/fwlink/?linkid=870924
Comment:
    25 hrs = 0 brine
10 hours = 1083 m3/hr (from 2 Ro trains @ 520 + UF)
133 hrs = 277 m3/hr (97 m3/hr from UF, remainer 45 m3/hr per train at 92.2% RR)</t>
      </text>
    </comment>
    <comment ref="A9" authorId="3" shapeId="0" xr:uid="{A01F3DDE-54D6-40A4-B739-116C1106945C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5 shutdowns as expected</t>
      </text>
    </comment>
    <comment ref="D11" authorId="4" shapeId="0" xr:uid="{430DB353-1291-4F52-9F24-0C56C9367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savings compared to baseline</t>
      </text>
    </comment>
    <comment ref="A13" authorId="5" shapeId="0" xr:uid="{2A87BE78-C559-43AE-95E9-B9B1CDAD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Solution where there is a shutdown for all peak hours
Reply:
    I’d like to see numbers for only one shutdown</t>
      </text>
    </comment>
    <comment ref="J13" authorId="6" shapeId="0" xr:uid="{FFA36925-C069-4696-AC82-F35BD29C01EC}">
      <text>
        <t>[Threaded comment]
Your version of Excel allows you to read this threaded comment; however, any edits to it will get removed if the file is opened in a newer version of Excel. Learn more: https://go.microsoft.com/fwlink/?linkid=870924
Comment:
    25 hrs = 0 brine
10 hours = 1083 m3/hr (from 2 Ro trains @ 520 + UF)
133 hrs = 277 m3/hr (97 m3/hr from UF, remainer 45 m3/hr per train at 92.2% RR)</t>
      </text>
    </comment>
    <comment ref="A16" authorId="7" shapeId="0" xr:uid="{B28B570C-C764-4378-B61D-458DE4F990EC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one plant shutdown allowed</t>
      </text>
    </comment>
    <comment ref="J16" authorId="8" shapeId="0" xr:uid="{FA61E68B-2D13-4D2E-B802-33BC32E35571}">
      <text>
        <t>[Threaded comment]
Your version of Excel allows you to read this threaded comment; however, any edits to it will get removed if the file is opened in a newer version of Excel. Learn more: https://go.microsoft.com/fwlink/?linkid=870924
Comment:
    5 hrs = 0 brine
2 hrs = 1083 m3/hr
82 hrs = 270 m3/hr
8 hrs = 133 m3/hr @ low RR
Remaining = ~220 m3/hr
Reply:
    Low key this result is probs not the optimal version of one shutdown...</t>
      </text>
    </comment>
    <comment ref="D17" authorId="9" shapeId="0" xr:uid="{8E1FBD91-405E-4634-A247-E71AF8AA675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savings compared to baseline</t>
      </text>
    </comment>
    <comment ref="J23" authorId="10" shapeId="0" xr:uid="{E1A102F6-1CF2-4D48-979A-0181ECF33C1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one shutdown - there are significantly longer periods of operation at lower recovery. This occurs because there is more water to shift to off-peak hours, thus more time to be at the lower recovery value (minimizing the demand charge)</t>
      </text>
    </comment>
    <comment ref="J25" authorId="11" shapeId="0" xr:uid="{1B8056AB-E255-474B-8036-2D14416413FE}">
      <text>
        <t>[Threaded comment]
Your version of Excel allows you to read this threaded comment; however, any edits to it will get removed if the file is opened in a newer version of Excel. Learn more: https://go.microsoft.com/fwlink/?linkid=870924
Comment:
    Slightly reduced recovery at 0.922 to get to 578 Feed flowrate. Plus the  start-up parts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tc={91B01F22-295E-46BB-ACCB-2E4ED162A079}</author>
    <author>tc={338E2122-408B-451A-85D7-EF9A92A8E19E}</author>
    <author>tc={82E3A100-DFFE-4CB2-B9B2-E28BF20128AB}</author>
    <author>tc={30E6622D-E007-41AB-B0B0-A6FA07445B38}</author>
    <author>tc={CC2FED43-9317-4942-84AB-D91CBD6CC0A1}</author>
    <author>tc={964F0726-9326-406D-BF37-7999B0A6D102}</author>
    <author>tc={936919AF-DC5C-473D-ADF0-F77CA44CF3E1}</author>
  </authors>
  <commentList>
    <comment ref="G2" authorId="0" shapeId="0" xr:uid="{91B01F22-295E-46BB-ACCB-2E4ED162A0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a formula</t>
      </text>
    </comment>
    <comment ref="V2" authorId="1" shapeId="0" xr:uid="{338E2122-408B-451A-85D7-EF9A92A8E19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isn’t being calculated correctly...</t>
      </text>
    </comment>
    <comment ref="A5" authorId="2" shapeId="0" xr:uid="{82E3A100-DFFE-4CB2-B9B2-E28BF20128AB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costs don’t change the solution because it avoids shutdowns
Reply:
    Start-Up cost = $931 per start-up</t>
      </text>
    </comment>
    <comment ref="D9" authorId="3" shapeId="0" xr:uid="{30E6622D-E007-41AB-B0B0-A6FA07445B38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Cost will change</t>
      </text>
    </comment>
    <comment ref="A11" authorId="4" shapeId="0" xr:uid="{CC2FED43-9317-4942-84AB-D91CBD6CC0A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solution remains the same at lower start-up costs</t>
      </text>
    </comment>
    <comment ref="O13" authorId="5" shapeId="0" xr:uid="{964F0726-9326-406D-BF37-7999B0A6D10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by manually adding in the cost of startup</t>
      </text>
    </comment>
    <comment ref="A15" authorId="6" shapeId="0" xr:uid="{936919AF-DC5C-473D-ADF0-F77CA44CF3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now all incorrect with the updated RTP rate</t>
      </text>
    </comment>
  </commentList>
</comments>
</file>

<file path=xl/sharedStrings.xml><?xml version="1.0" encoding="utf-8"?>
<sst xmlns="http://schemas.openxmlformats.org/spreadsheetml/2006/main" count="358" uniqueCount="104">
  <si>
    <t>Season</t>
  </si>
  <si>
    <t>Flexibility Type</t>
  </si>
  <si>
    <t>Num Flexible Trains</t>
  </si>
  <si>
    <t>Total Operational Cost</t>
  </si>
  <si>
    <t>Total Water Production (m3)</t>
  </si>
  <si>
    <t>LCOW ($/m3)</t>
  </si>
  <si>
    <t>Total Energy Cost</t>
  </si>
  <si>
    <t>Fixed Demand Cost</t>
  </si>
  <si>
    <t>Variable Demand Cost</t>
  </si>
  <si>
    <t>Total Elec. Cost</t>
  </si>
  <si>
    <t>Total Feed Cost</t>
  </si>
  <si>
    <t>Total Brine Cost</t>
  </si>
  <si>
    <t>Total Chemical Cost</t>
  </si>
  <si>
    <t>Total Replacement Cost</t>
  </si>
  <si>
    <t>Total Demand Response Revenue</t>
  </si>
  <si>
    <t>Total Cost</t>
  </si>
  <si>
    <t>MMaximum Power</t>
  </si>
  <si>
    <t>Energy Capacity</t>
  </si>
  <si>
    <t>Power Capacity</t>
  </si>
  <si>
    <t>LVOF</t>
  </si>
  <si>
    <t>winter</t>
  </si>
  <si>
    <t>both</t>
  </si>
  <si>
    <t>summer</t>
  </si>
  <si>
    <t>no_flex</t>
  </si>
  <si>
    <t>rr</t>
  </si>
  <si>
    <t>flow</t>
  </si>
  <si>
    <t>TIME PERIOD = 2 DAYS</t>
  </si>
  <si>
    <t>RTP RATE</t>
  </si>
  <si>
    <t>TIME PERIOD = 1 WEEK, Rate = TOU 3</t>
  </si>
  <si>
    <t>Maximum Power</t>
  </si>
  <si>
    <t>Simple DR</t>
  </si>
  <si>
    <t>TOU 8</t>
  </si>
  <si>
    <t>Off-Peak Demand Charge</t>
  </si>
  <si>
    <t>On-Peak Demand Charge</t>
  </si>
  <si>
    <t>Higher Water Target, TOU 3</t>
  </si>
  <si>
    <t>real data</t>
  </si>
  <si>
    <t>N/A</t>
  </si>
  <si>
    <t>Simplified Rate Structure</t>
  </si>
  <si>
    <t>TOU 3 2026</t>
  </si>
  <si>
    <t>Charge Energy Capacity</t>
  </si>
  <si>
    <t>Charge Power Capacity</t>
  </si>
  <si>
    <t>Higher Rate Even Division</t>
  </si>
  <si>
    <t>CPP DR Program</t>
  </si>
  <si>
    <t>CAPEX =&gt;</t>
  </si>
  <si>
    <t>1 shutdown - 5 shutdowns =</t>
  </si>
  <si>
    <t>No Shutdowns - 5 Shutdowns</t>
  </si>
  <si>
    <t>DR, 1 SHUTDOWN</t>
  </si>
  <si>
    <t>NO DR, NO SHUTDOWN</t>
  </si>
  <si>
    <t>NO DR, 5 SHUTDOWN</t>
  </si>
  <si>
    <t>DR, 5 SHUTDOWN</t>
  </si>
  <si>
    <t>Same Solution</t>
  </si>
  <si>
    <t>Differences</t>
  </si>
  <si>
    <t>1 shutdown vs no shutdowns</t>
  </si>
  <si>
    <t>1 shutdown vs 5 shutdowns</t>
  </si>
  <si>
    <t>Op Cost (No DR)</t>
  </si>
  <si>
    <t>5 shutdowns vs no shutdowns</t>
  </si>
  <si>
    <t>Most difference is the start up periods (ofc)</t>
  </si>
  <si>
    <t>DR, 1 SHUTDOWN, 3 HR Startup</t>
  </si>
  <si>
    <t>2 HR vs. 3 HR Shutdown</t>
  </si>
  <si>
    <t>3 HR shutdown vs no shutdowns</t>
  </si>
  <si>
    <t>Result with a delayed shutdown</t>
  </si>
  <si>
    <t>Delayed Shutdowns vs. None</t>
  </si>
  <si>
    <t>NO DR, 1 HR Start-Up</t>
  </si>
  <si>
    <t>Higher Brine Costs</t>
  </si>
  <si>
    <t>?</t>
  </si>
  <si>
    <t>Working Hours</t>
  </si>
  <si>
    <t>No Brine Cost During Startup</t>
  </si>
  <si>
    <t>BRINE COST DURING STARTUP</t>
  </si>
  <si>
    <t>Rate Structure</t>
  </si>
  <si>
    <t>TOU3</t>
  </si>
  <si>
    <t>Shutdowns</t>
  </si>
  <si>
    <t>TOU3 + DR</t>
  </si>
  <si>
    <t>RTP</t>
  </si>
  <si>
    <t>Start-Up Costs</t>
  </si>
  <si>
    <t>Brine Minus Start-up Costs</t>
  </si>
  <si>
    <t>Percent Savings</t>
  </si>
  <si>
    <t>Annual AF</t>
  </si>
  <si>
    <t>Weekly Water</t>
  </si>
  <si>
    <t>MAX</t>
  </si>
  <si>
    <t>Plant Capacity</t>
  </si>
  <si>
    <t>Baseline Electricity Cost</t>
  </si>
  <si>
    <t>Flexible Electricity Costs</t>
  </si>
  <si>
    <t>Flow Cost Increase</t>
  </si>
  <si>
    <t>RESULTS</t>
  </si>
  <si>
    <t>Summer</t>
  </si>
  <si>
    <t>Total OPEX Cost</t>
  </si>
  <si>
    <t>Annual Production (AF)</t>
  </si>
  <si>
    <t>Number of Allowed Shutdowns</t>
  </si>
  <si>
    <t>Total Cost ($)</t>
  </si>
  <si>
    <t>Total Energy Cost ($)</t>
  </si>
  <si>
    <t>Total Demand Cost ($)</t>
  </si>
  <si>
    <t>Total Feed Cost ($)</t>
  </si>
  <si>
    <t>Total Brine Cost ($)</t>
  </si>
  <si>
    <t>Total Chemical Cost ($)</t>
  </si>
  <si>
    <t>Total Electricity Cost ($)</t>
  </si>
  <si>
    <t>Total Replacement Cost ($)</t>
  </si>
  <si>
    <t>Degree of Flexibility</t>
  </si>
  <si>
    <t>Levelized Cost of Water ($/m3)</t>
  </si>
  <si>
    <t>Flexible</t>
  </si>
  <si>
    <t>Y</t>
  </si>
  <si>
    <t>N</t>
  </si>
  <si>
    <t>TWO TRAINS</t>
  </si>
  <si>
    <t>FOUR TRAINS</t>
  </si>
  <si>
    <t>Result with a lower baseline peak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</si>
</sst>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14" fillId="0" borderId="0" xfId="0" applyFont="1"/>
    <xf numFmtId="0" fontId="18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11" fontId="0" fillId="0" borderId="0" xfId="0" applyNumberFormat="1"/>
    <xf numFmtId="0" fontId="18" fillId="0" borderId="0" xfId="0" applyFont="1" applyAlignment="1">
      <alignment horizontal="center"/>
    </xf>
    <xf numFmtId="1" fontId="0" fillId="0" borderId="0" xfId="0" applyNumberFormat="1"/>
    <xf numFmtId="0" fontId="16" fillId="0" borderId="0" xfId="0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0" fontId="13" fillId="33" borderId="10" xfId="0" applyFont="1" applyFill="1" applyBorder="1"/>
    <xf numFmtId="0" fontId="13" fillId="33" borderId="11" xfId="0" applyFont="1" applyFill="1" applyBorder="1"/>
    <xf numFmtId="2" fontId="0" fillId="0" borderId="11" xfId="0" applyNumberFormat="1" applyBorder="1"/>
    <xf numFmtId="0" fontId="0" fillId="34" borderId="0" xfId="0" applyFill="1"/>
    <xf numFmtId="0" fontId="19" fillId="34" borderId="0" xfId="0" applyFont="1" applyFill="1"/>
    <xf numFmtId="0" fontId="18" fillId="34" borderId="0" xfId="0" applyFont="1" applyFill="1"/>
    <xf numFmtId="1" fontId="0" fillId="34" borderId="0" xfId="0" applyNumberFormat="1" applyFill="1"/>
    <xf numFmtId="164" fontId="0" fillId="34" borderId="0" xfId="0" applyNumberFormat="1" applyFill="1"/>
    <xf numFmtId="0" fontId="23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114E4FE4-B7B1-4FA3-A72A-3A97E9B9C3CF}" userId="S::rchurchi@nrel.gov::24b6a320-1211-4379-9513-990e66715a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7-20T22:02:04.36" personId="{114E4FE4-B7B1-4FA3-A72A-3A97E9B9C3CF}" id="{0A68C4F8-DD37-4E19-A8B1-830AE9F7EA20}">
    <text>This should be a formula</text>
  </threadedComment>
  <threadedComment ref="N2" dT="2026-07-15T21:03:49.32" personId="{114E4FE4-B7B1-4FA3-A72A-3A97E9B9C3CF}" id="{BBF7D234-FE30-40AB-877C-48487A60B475}">
    <text>By default, these numbers are incorrect. Only the green numbers are correct</text>
  </threadedComment>
  <threadedComment ref="S2" dT="2026-07-15T22:57:33.93" personId="{114E4FE4-B7B1-4FA3-A72A-3A97E9B9C3CF}" id="{508D361C-2D0C-49BA-974D-6C72FE37C504}">
    <text>This isn’t being calculated correctly...</text>
  </threadedComment>
  <threadedComment ref="A7" dT="2026-07-15T23:37:51.28" personId="{114E4FE4-B7B1-4FA3-A72A-3A97E9B9C3CF}" id="{F27CC18C-9CF0-4B96-A7C0-3CA554F9A587}">
    <text>This will of course give the baseline because it is already at the maximum recovery- there is no potential for charging capacity</text>
  </threadedComment>
  <threadedComment ref="A12" dT="2026-07-15T22:24:25.41" personId="{114E4FE4-B7B1-4FA3-A72A-3A97E9B9C3CF}" id="{73C7F34A-BCA8-44F2-A992-5B81BCD419CF}">
    <text>This result still make sense because: the recovery change would cause an extra cost that outweighs the tiny electricity savings.</text>
  </threadedComment>
  <threadedComment ref="A16" dT="2026-07-01T17:37:32.24" personId="{114E4FE4-B7B1-4FA3-A72A-3A97E9B9C3CF}" id="{CD2318A4-5B8F-4EC0-9DFB-E52F2D041746}">
    <text>This should be the same as the baseline</text>
  </threadedComment>
  <threadedComment ref="A25" dT="2026-06-11T20:38:07.96" personId="{114E4FE4-B7B1-4FA3-A72A-3A97E9B9C3CF}" id="{DFECE21F-32E0-4210-824A-1E57B1730184}">
    <text>So IMO the definition of “flexible trains is strange here. Shouldn’t the first two trains have operations totally fixed? Currently, this just prevents trains one and two from turning off</text>
  </threadedComment>
  <threadedComment ref="A25" dT="2026-07-17T16:31:03.99" personId="{114E4FE4-B7B1-4FA3-A72A-3A97E9B9C3CF}" id="{668DBC5A-3C1B-4BF9-8368-F26E80CE9B35}" parentId="{DFECE21F-32E0-4210-824A-1E57B1730184}">
    <text>Which yields (somewhat obviously) the same result as 4 flexible trains</text>
  </threadedComment>
  <threadedComment ref="Q27" dT="2026-07-02T17:46:58.68" personId="{114E4FE4-B7B1-4FA3-A72A-3A97E9B9C3CF}" id="{7128E1A1-FC03-4EA4-B47C-4E0569E512E5}">
    <text xml:space="preserve">This is higher than the baseline because the solution is not optimal. It fails to optimize the UF pumps </text>
  </threadedComment>
  <threadedComment ref="A28" dT="2026-07-15T17:22:40.80" personId="{114E4FE4-B7B1-4FA3-A72A-3A97E9B9C3CF}" id="{FA39747C-8399-4DE8-BFC3-16508DD92F20}">
    <text>This cannot be higher than the two flex trains case, so I think it’s fair to use the same solution for both.</text>
  </threadedComment>
  <threadedComment ref="A32" dT="2026-07-23T21:50:18.94" personId="{114E4FE4-B7B1-4FA3-A72A-3A97E9B9C3CF}" id="{0CE66D44-40D7-4762-8700-23B9C4E639CE}">
    <text>Forced Five shutdowns</text>
  </threadedComment>
  <threadedComment ref="A50" dT="2026-05-27T21:42:09.38" personId="{114E4FE4-B7B1-4FA3-A72A-3A97E9B9C3CF}" id="{FC7CAB31-3DEE-4F30-9288-CDF327BE04E1}">
    <text>Winter is low winter weekdays + low weekends</text>
  </threadedComment>
  <threadedComment ref="A51" dT="2026-06-12T21:26:36.67" personId="{114E4FE4-B7B1-4FA3-A72A-3A97E9B9C3CF}" id="{F9308CF0-AB74-4ABB-91B6-7382ECEADD39}">
    <text>Summer week = hot summer weekdays + high weekends</text>
  </threadedComment>
  <threadedComment ref="A60" dT="2026-07-21T19:50:00.59" personId="{114E4FE4-B7B1-4FA3-A72A-3A97E9B9C3CF}" id="{B12FED98-6BE9-4BE2-A887-4CF314FA442B}">
    <text>Wrong baseline power was used</text>
  </threadedComment>
  <threadedComment ref="A61" dT="2026-07-22T19:28:49.80" personId="{114E4FE4-B7B1-4FA3-A72A-3A97E9B9C3CF}" id="{7E28AC63-C308-4B0A-97A5-B41EEB6DBCFB}">
    <text>Old solution where there is only one plant shutdown.</text>
  </threadedComment>
  <threadedComment ref="A62" dT="2026-07-22T19:29:10.19" personId="{114E4FE4-B7B1-4FA3-A72A-3A97E9B9C3CF}" id="{B7EDEAAD-67C9-4693-A0FC-570282E02182}">
    <text>Solution where there is a shutdown for all peak hours</text>
  </threadedComment>
  <threadedComment ref="A63" dT="2026-07-22T21:09:49.14" personId="{114E4FE4-B7B1-4FA3-A72A-3A97E9B9C3CF}" id="{0EBBD83F-AB64-4248-87E6-B99F88EE5F88}">
    <text>Only one plant shutdown allowed</text>
  </threadedComment>
  <threadedComment ref="A66" dT="2026-09-15T16:14:38.89" personId="{114E4FE4-B7B1-4FA3-A72A-3A97E9B9C3CF}" id="{4F558AE1-FE55-497E-AC12-603E221B46D5}">
    <text>Specifically 725 kW, which is the peak power for the optimal full flex solution</text>
  </threadedComment>
  <threadedComment ref="A70" dT="2026-08-03T21:10:04.14" personId="{114E4FE4-B7B1-4FA3-A72A-3A97E9B9C3CF}" id="{8E704477-0437-40A7-B175-85F6EA0FB52A}">
    <text>Including this as the final result</text>
  </threadedComment>
  <threadedComment ref="L71" dT="2026-08-03T21:09:16.86" personId="{114E4FE4-B7B1-4FA3-A72A-3A97E9B9C3CF}" id="{9BC5A461-E691-49A7-9AA5-314B7AD6B728}">
    <text>Just some random lower recovery periods</text>
  </threadedComment>
  <threadedComment ref="A78" dT="2026-07-22T16:56:30.58" personId="{114E4FE4-B7B1-4FA3-A72A-3A97E9B9C3CF}" id="{FD7ED5AD-FD5F-4506-A4A6-ADC8FF8FAC50}">
    <text xml:space="preserve">This should be the same as the other DR solution, except for the demand response revenue
</text>
  </threadedComment>
  <threadedComment ref="A80" dT="2026-09-11T22:19:30.96" personId="{114E4FE4-B7B1-4FA3-A72A-3A97E9B9C3CF}" id="{72AFD5EA-5AA9-4CD2-944C-D32BC94D67D2}">
    <text>If RED, result is using the 2026 rate, but I’m updating to the 2023 version</text>
  </threadedComment>
  <threadedComment ref="A85" dT="2026-07-21T19:23:55.41" personId="{114E4FE4-B7B1-4FA3-A72A-3A97E9B9C3CF}" id="{4644E393-F522-4E79-88BA-041770B595A7}">
    <text>Pretty sure this solution is wrong, but I don’t think I need this case for the paper</text>
  </threadedComment>
  <threadedComment ref="A91" dT="2026-07-10T12:48:01.57" personId="{114E4FE4-B7B1-4FA3-A72A-3A97E9B9C3CF}" id="{9FF6B967-6104-43AC-8EED-15C48C9ACCA9}">
    <text>The flexibility metrics are all nonsense. Would have to run a baseline case for this to work.</text>
  </threadedComment>
  <threadedComment ref="A103" dT="2026-08-09T17:04:16.49" personId="{114E4FE4-B7B1-4FA3-A72A-3A97E9B9C3CF}" id="{3B63C6BF-9DE1-4172-A721-F97EE0406603}">
    <text>2.5x higher brine costs (1.08$/m3)</text>
  </threadedComment>
  <threadedComment ref="A106" dT="2026-08-09T17:05:17.32" personId="{114E4FE4-B7B1-4FA3-A72A-3A97E9B9C3CF}" id="{FE798470-8A4D-4C72-9935-5EF1B8A7CFB6}">
    <text>5x brine costs (2.15 $/m3)</text>
  </threadedComment>
  <threadedComment ref="A109" dT="2026-08-18T21:09:34.88" personId="{114E4FE4-B7B1-4FA3-A72A-3A97E9B9C3CF}" id="{9D93D39A-4E12-4E91-8443-F39D5B5EA779}">
    <text>Working Hours = 8 AM to 5 PM</text>
  </threadedComment>
  <threadedComment ref="A114" dT="2026-08-28T19:35:29.57" personId="{114E4FE4-B7B1-4FA3-A72A-3A97E9B9C3CF}" id="{9585276E-E9B8-4AFF-9F58-E3ADC73D024E}">
    <text>Five Shutdowns</text>
  </threadedComment>
  <threadedComment ref="T122" dT="2026-07-01T19:24:18.69" personId="{114E4FE4-B7B1-4FA3-A72A-3A97E9B9C3CF}" id="{86E634AB-9E52-4A6D-BE85-5D191C9227C6}">
    <text>These LVOF numbers are nonsense because the baseline costs are not the same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" dT="2026-07-31T00:16:36.52" personId="{114E4FE4-B7B1-4FA3-A72A-3A97E9B9C3CF}" id="{D913FCAB-030D-49E3-A7A0-5803B7027754}">
    <text xml:space="preserve">10 hrs = 133 m3/hr
41 hrs = 267 m3/hr (4 trains @ 91.3% RR)
Remainder = 222 m3/hr (3 trains @ 92.5%) 
</text>
  </threadedComment>
  <threadedComment ref="A7" dT="2026-07-23T21:50:18.94" personId="{114E4FE4-B7B1-4FA3-A72A-3A97E9B9C3CF}" id="{59DFC78E-5F9D-4D05-9892-2664283F148D}">
    <text>Forced Five shutdowns</text>
  </threadedComment>
  <threadedComment ref="J7" dT="2026-07-30T23:48:23.68" personId="{114E4FE4-B7B1-4FA3-A72A-3A97E9B9C3CF}" id="{5DA58C15-B5CA-4552-8F53-D4819003ECD4}">
    <text>25 hrs = 0 brine
10 hours = 1083 m3/hr (from 2 Ro trains @ 520 + UF)
133 hrs = 277 m3/hr (97 m3/hr from UF, remainer 45 m3/hr per train at 92.2% RR)</text>
  </threadedComment>
  <threadedComment ref="A9" dT="2026-08-09T16:59:47.14" personId="{114E4FE4-B7B1-4FA3-A72A-3A97E9B9C3CF}" id="{A01F3DDE-54D6-40A4-B739-116C1106945C}">
    <text>Has 5 shutdowns as expected</text>
  </threadedComment>
  <threadedComment ref="D11" dT="2026-08-06T01:53:20.07" personId="{114E4FE4-B7B1-4FA3-A72A-3A97E9B9C3CF}" id="{430DB353-1291-4F52-9F24-0C56C9367687}">
    <text>Percent savings compared to baseline</text>
  </threadedComment>
  <threadedComment ref="A13" dT="2026-07-22T19:29:10.19" personId="{114E4FE4-B7B1-4FA3-A72A-3A97E9B9C3CF}" id="{2A87BE78-C559-43AE-95E9-B9B1CDADA8AE}">
    <text>Solution where there is a shutdown for all peak hours</text>
  </threadedComment>
  <threadedComment ref="A13" dT="2026-07-22T19:37:51.21" personId="{114E4FE4-B7B1-4FA3-A72A-3A97E9B9C3CF}" id="{17E89EDA-58B7-4160-A587-C8F02064EE42}" parentId="{2A87BE78-C559-43AE-95E9-B9B1CDADA8AE}">
    <text>I’d like to see numbers for only one shutdown</text>
  </threadedComment>
  <threadedComment ref="J13" dT="2026-07-30T23:48:23.68" personId="{114E4FE4-B7B1-4FA3-A72A-3A97E9B9C3CF}" id="{FFA36925-C069-4696-AC82-F35BD29C01EC}">
    <text>25 hrs = 0 brine
10 hours = 1083 m3/hr (from 2 Ro trains @ 520 + UF)
133 hrs = 277 m3/hr (97 m3/hr from UF, remainer 45 m3/hr per train at 92.2% RR)</text>
  </threadedComment>
  <threadedComment ref="A16" dT="2026-07-22T21:09:49.14" personId="{114E4FE4-B7B1-4FA3-A72A-3A97E9B9C3CF}" id="{B28B570C-C764-4378-B61D-458DE4F990EC}">
    <text>Only one plant shutdown allowed</text>
  </threadedComment>
  <threadedComment ref="J16" dT="2026-07-31T00:30:46.97" personId="{114E4FE4-B7B1-4FA3-A72A-3A97E9B9C3CF}" id="{FA61E68B-2D13-4D2E-B802-33BC32E35571}">
    <text>5 hrs = 0 brine
2 hrs = 1083 m3/hr
82 hrs = 270 m3/hr
8 hrs = 133 m3/hr @ low RR
Remaining = ~220 m3/hr</text>
  </threadedComment>
  <threadedComment ref="J16" dT="2026-07-31T00:31:51.36" personId="{114E4FE4-B7B1-4FA3-A72A-3A97E9B9C3CF}" id="{53F1C0E0-DC73-4C54-B570-6E2EA35F43E0}" parentId="{FA61E68B-2D13-4D2E-B802-33BC32E35571}">
    <text>Low key this result is probs not the optimal version of one shutdown...</text>
  </threadedComment>
  <threadedComment ref="D17" dT="2026-08-06T01:53:20.07" personId="{114E4FE4-B7B1-4FA3-A72A-3A97E9B9C3CF}" id="{8E1FBD91-405E-4634-A247-E71AF8AA6758}">
    <text>Percent savings compared to baseline</text>
  </threadedComment>
  <threadedComment ref="J23" dT="2026-07-30T22:50:03.35" personId="{114E4FE4-B7B1-4FA3-A72A-3A97E9B9C3CF}" id="{E1A102F6-1CF2-4D48-979A-0181ECF33C11}">
    <text>For one shutdown - there are significantly longer periods of operation at lower recovery. This occurs because there is more water to shift to off-peak hours, thus more time to be at the lower recovery value (minimizing the demand charge)</text>
  </threadedComment>
  <threadedComment ref="J25" dT="2026-07-30T23:11:38.86" personId="{114E4FE4-B7B1-4FA3-A72A-3A97E9B9C3CF}" id="{1B8056AB-E255-474B-8036-2D14416413FE}">
    <text>Slightly reduced recovery at 0.922 to get to 578 Feed flowrate. Plus the  start-up parts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2" dT="2026-07-20T22:02:04.36" personId="{114E4FE4-B7B1-4FA3-A72A-3A97E9B9C3CF}" id="{91B01F22-295E-46BB-ACCB-2E4ED162A079}">
    <text>This should be a formula</text>
  </threadedComment>
  <threadedComment ref="V2" dT="2026-07-15T22:57:33.93" personId="{114E4FE4-B7B1-4FA3-A72A-3A97E9B9C3CF}" id="{338E2122-408B-451A-85D7-EF9A92A8E19E}">
    <text>This isn’t being calculated correctly...</text>
  </threadedComment>
  <threadedComment ref="A5" dT="2026-08-28T23:13:11.99" personId="{114E4FE4-B7B1-4FA3-A72A-3A97E9B9C3CF}" id="{82E3A100-DFFE-4CB2-B9B2-E28BF20128AB}">
    <text>Higher costs don’t change the solution because it avoids shutdowns</text>
  </threadedComment>
  <threadedComment ref="A5" dT="2026-08-31T17:57:51.22" personId="{114E4FE4-B7B1-4FA3-A72A-3A97E9B9C3CF}" id="{1FC0AE2E-0EBB-40CC-B526-FA3520550037}" parentId="{82E3A100-DFFE-4CB2-B9B2-E28BF20128AB}">
    <text>Start-Up cost = $931 per start-up</text>
  </threadedComment>
  <threadedComment ref="D9" dT="2026-08-31T16:54:44.56" personId="{114E4FE4-B7B1-4FA3-A72A-3A97E9B9C3CF}" id="{30E6622D-E007-41AB-B0B0-A6FA07445B38}">
    <text>Total Cost will change</text>
  </threadedComment>
  <threadedComment ref="A11" dT="2026-08-31T17:37:31.17" personId="{114E4FE4-B7B1-4FA3-A72A-3A97E9B9C3CF}" id="{CC2FED43-9317-4942-84AB-D91CBD6CC0A1}">
    <text>Assuming solution remains the same at lower start-up costs</text>
  </threadedComment>
  <threadedComment ref="O13" dT="2026-08-31T20:52:23.61" personId="{114E4FE4-B7B1-4FA3-A72A-3A97E9B9C3CF}" id="{964F0726-9326-406D-BF37-7999B0A6D102}">
    <text>Calculated by manually adding in the cost of startup</text>
  </threadedComment>
  <threadedComment ref="A15" dT="2026-09-11T20:08:59.21" personId="{114E4FE4-B7B1-4FA3-A72A-3A97E9B9C3CF}" id="{936919AF-DC5C-473D-ADF0-F77CA44CF3E1}">
    <text>These are now all incorrect with the updated RTP rate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1F3-C438-4D9E-9154-F58427CB6366}">
  <dimension ref="A1:V125"/>
  <sheetViews>
    <sheetView tabSelected="1" topLeftCell="A97" zoomScale="110" zoomScaleNormal="110" workbookViewId="0">
      <selection activeCell="U119" sqref="U119"/>
    </sheetView>
  </sheetViews>
  <sheetFormatPr defaultRowHeight="14.6" x14ac:dyDescent="0.4"/>
  <cols>
    <col min="1" max="1" width="9.61328125" customWidth="1"/>
    <col min="3" max="3" width="10.84375" customWidth="1"/>
    <col min="4" max="4" width="9" bestFit="1" customWidth="1"/>
    <col min="5" max="5" width="10.23046875" customWidth="1"/>
    <col min="6" max="6" width="11.84375" bestFit="1" customWidth="1"/>
    <col min="7" max="7" width="10.69140625" customWidth="1"/>
    <col min="9" max="9" width="9.07421875" customWidth="1"/>
    <col min="11" max="11" width="10.84375" bestFit="1" customWidth="1"/>
    <col min="15" max="15" width="9.53515625" customWidth="1"/>
    <col min="16" max="16" width="9.84375" bestFit="1" customWidth="1"/>
    <col min="20" max="20" width="7.84375" customWidth="1"/>
  </cols>
  <sheetData>
    <row r="1" spans="1:22" x14ac:dyDescent="0.4">
      <c r="A1" s="1" t="s">
        <v>28</v>
      </c>
      <c r="O1" t="s">
        <v>43</v>
      </c>
      <c r="P1">
        <v>120559.67181899652</v>
      </c>
    </row>
    <row r="2" spans="1:22" x14ac:dyDescent="0.4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 t="s">
        <v>13</v>
      </c>
      <c r="O2" t="s">
        <v>14</v>
      </c>
      <c r="P2" t="s">
        <v>15</v>
      </c>
      <c r="Q2" t="s">
        <v>29</v>
      </c>
      <c r="R2" t="s">
        <v>17</v>
      </c>
      <c r="S2" s="2" t="s">
        <v>18</v>
      </c>
      <c r="T2" t="s">
        <v>19</v>
      </c>
      <c r="U2" t="s">
        <v>39</v>
      </c>
      <c r="V2" t="s">
        <v>40</v>
      </c>
    </row>
    <row r="3" spans="1:22" x14ac:dyDescent="0.4">
      <c r="A3" s="5" t="s">
        <v>20</v>
      </c>
      <c r="B3" s="5" t="s">
        <v>23</v>
      </c>
      <c r="C3">
        <v>0</v>
      </c>
      <c r="D3">
        <f>J3+K3+L3+M3+N3</f>
        <v>112555.1610860814</v>
      </c>
      <c r="E3">
        <v>282179.67123287602</v>
      </c>
      <c r="F3">
        <v>0.82464177024617602</v>
      </c>
      <c r="G3">
        <v>18242.5461916684</v>
      </c>
      <c r="H3">
        <v>4851.7228614100204</v>
      </c>
      <c r="I3">
        <v>2606.3791518481999</v>
      </c>
      <c r="J3">
        <v>25700.648204926601</v>
      </c>
      <c r="K3">
        <v>50843.184005923598</v>
      </c>
      <c r="L3">
        <v>15303.798385783</v>
      </c>
      <c r="M3">
        <v>19297.5304894482</v>
      </c>
      <c r="N3" s="5">
        <v>1410</v>
      </c>
      <c r="O3">
        <v>0</v>
      </c>
      <c r="P3">
        <f>D3+$P$1</f>
        <v>233114.8329050779</v>
      </c>
      <c r="Q3">
        <v>1101.6748792595399</v>
      </c>
      <c r="R3">
        <v>0</v>
      </c>
      <c r="S3">
        <v>0</v>
      </c>
      <c r="T3">
        <v>0</v>
      </c>
    </row>
    <row r="4" spans="1:22" x14ac:dyDescent="0.4">
      <c r="A4" s="5" t="s">
        <v>22</v>
      </c>
      <c r="B4" s="5" t="s">
        <v>23</v>
      </c>
      <c r="C4">
        <v>0</v>
      </c>
      <c r="D4">
        <f>J4+K4+L4+M4+N4</f>
        <v>121507.92454383519</v>
      </c>
      <c r="E4">
        <v>282179.67123287602</v>
      </c>
      <c r="F4">
        <v>0.85636894399557495</v>
      </c>
      <c r="G4">
        <v>20627.43117349</v>
      </c>
      <c r="H4">
        <v>4930.8542128783001</v>
      </c>
      <c r="I4">
        <v>9095.1262763121395</v>
      </c>
      <c r="J4">
        <v>34653.411662680403</v>
      </c>
      <c r="K4">
        <v>50843.184005923598</v>
      </c>
      <c r="L4">
        <v>15303.798385783</v>
      </c>
      <c r="M4">
        <v>19297.5304894482</v>
      </c>
      <c r="N4" s="5">
        <v>1410</v>
      </c>
      <c r="O4">
        <v>0</v>
      </c>
      <c r="P4">
        <f>D4+$P$1</f>
        <v>242067.59636283171</v>
      </c>
      <c r="Q4">
        <v>1101.6749453094101</v>
      </c>
      <c r="R4">
        <v>0</v>
      </c>
      <c r="S4">
        <v>0</v>
      </c>
      <c r="T4">
        <v>0</v>
      </c>
    </row>
    <row r="5" spans="1:22" x14ac:dyDescent="0.4">
      <c r="G5" s="4"/>
      <c r="K5" s="10">
        <f>K4+L4+M4</f>
        <v>85444.512881154791</v>
      </c>
    </row>
    <row r="6" spans="1:22" x14ac:dyDescent="0.4">
      <c r="A6" t="s">
        <v>20</v>
      </c>
      <c r="B6" t="s">
        <v>24</v>
      </c>
      <c r="C6">
        <v>0</v>
      </c>
      <c r="D6">
        <f>J6+K6+L6+M6+N6</f>
        <v>112135.0691851889</v>
      </c>
      <c r="E6">
        <v>282179.67123287602</v>
      </c>
      <c r="F6">
        <v>0.82463325578173197</v>
      </c>
      <c r="G6" s="4">
        <v>18240.8407502021</v>
      </c>
      <c r="H6">
        <v>4851.2693328072801</v>
      </c>
      <c r="I6">
        <v>2606.1355131391001</v>
      </c>
      <c r="J6">
        <v>25698.245596148499</v>
      </c>
      <c r="K6">
        <v>50843.1840059237</v>
      </c>
      <c r="L6">
        <v>15303.7983857831</v>
      </c>
      <c r="M6">
        <v>19297.530489448302</v>
      </c>
      <c r="N6">
        <v>992.31070788530405</v>
      </c>
      <c r="O6">
        <v>0</v>
      </c>
      <c r="P6">
        <f t="shared" ref="P6:P13" si="0">D6+$P$1</f>
        <v>232694.7410041854</v>
      </c>
      <c r="Q6">
        <v>1101.5718970651201</v>
      </c>
      <c r="R6">
        <v>0</v>
      </c>
      <c r="S6">
        <v>0</v>
      </c>
      <c r="T6">
        <v>0</v>
      </c>
    </row>
    <row r="7" spans="1:22" x14ac:dyDescent="0.4">
      <c r="A7" s="3" t="s">
        <v>22</v>
      </c>
      <c r="B7" s="3" t="s">
        <v>24</v>
      </c>
      <c r="C7">
        <v>0</v>
      </c>
      <c r="D7">
        <f>J7+K7+L7+M7+N7</f>
        <v>121097.93710908349</v>
      </c>
      <c r="E7">
        <v>282179.67123287602</v>
      </c>
      <c r="F7">
        <v>0.85639623815652299</v>
      </c>
      <c r="G7" s="4">
        <v>20632.008189972999</v>
      </c>
      <c r="H7">
        <v>4931.94871395263</v>
      </c>
      <c r="I7">
        <v>9097.1451203198394</v>
      </c>
      <c r="J7">
        <v>34661.102024245498</v>
      </c>
      <c r="K7">
        <v>50843.186957348102</v>
      </c>
      <c r="L7">
        <v>15303.8063177357</v>
      </c>
      <c r="M7">
        <v>19297.531101868899</v>
      </c>
      <c r="N7">
        <v>992.31070788530405</v>
      </c>
      <c r="O7">
        <v>0</v>
      </c>
      <c r="P7">
        <f t="shared" si="0"/>
        <v>241657.60892808001</v>
      </c>
      <c r="Q7">
        <v>1101.9194839550801</v>
      </c>
      <c r="R7">
        <v>0</v>
      </c>
      <c r="S7">
        <v>0</v>
      </c>
      <c r="T7">
        <v>0</v>
      </c>
    </row>
    <row r="8" spans="1:22" x14ac:dyDescent="0.4">
      <c r="G8" s="4"/>
    </row>
    <row r="9" spans="1:22" x14ac:dyDescent="0.4">
      <c r="A9" t="s">
        <v>20</v>
      </c>
      <c r="B9" t="s">
        <v>25</v>
      </c>
      <c r="C9">
        <v>0</v>
      </c>
      <c r="D9">
        <f>J9+K9+L9+M9+N9</f>
        <v>112171.66342385749</v>
      </c>
      <c r="E9">
        <v>282179.67123287602</v>
      </c>
      <c r="F9">
        <v>0.82476293995957695</v>
      </c>
      <c r="G9" s="4">
        <v>18266.8157113575</v>
      </c>
      <c r="H9">
        <v>4858.1774967593901</v>
      </c>
      <c r="I9">
        <v>2609.8466266994801</v>
      </c>
      <c r="J9">
        <v>25734.839834816299</v>
      </c>
      <c r="K9">
        <v>50843.184005923897</v>
      </c>
      <c r="L9">
        <v>15303.798385783701</v>
      </c>
      <c r="M9">
        <v>19297.530489448302</v>
      </c>
      <c r="N9">
        <v>992.31070788530405</v>
      </c>
      <c r="O9">
        <v>0</v>
      </c>
      <c r="P9">
        <f t="shared" si="0"/>
        <v>232731.33524285402</v>
      </c>
      <c r="Q9">
        <v>1103.1405255510299</v>
      </c>
      <c r="R9">
        <v>0</v>
      </c>
      <c r="S9">
        <v>0</v>
      </c>
      <c r="T9">
        <v>0</v>
      </c>
    </row>
    <row r="10" spans="1:22" x14ac:dyDescent="0.4">
      <c r="A10" s="3" t="s">
        <v>22</v>
      </c>
      <c r="B10" s="3" t="s">
        <v>25</v>
      </c>
      <c r="C10">
        <v>0</v>
      </c>
      <c r="D10">
        <f>J10+K10+L10+M10+N10</f>
        <v>121125.54011160239</v>
      </c>
      <c r="E10">
        <v>282181.81222384499</v>
      </c>
      <c r="F10">
        <v>0.85648756036366303</v>
      </c>
      <c r="G10" s="4">
        <v>20646.853340244099</v>
      </c>
      <c r="H10">
        <v>4935.5483613883198</v>
      </c>
      <c r="I10">
        <v>9103.7847909659795</v>
      </c>
      <c r="J10">
        <v>34686.186492598397</v>
      </c>
      <c r="K10">
        <v>50844.052885348698</v>
      </c>
      <c r="L10">
        <v>15305.212873121</v>
      </c>
      <c r="M10">
        <v>19297.777152649</v>
      </c>
      <c r="N10">
        <v>992.31070788530405</v>
      </c>
      <c r="O10">
        <v>0</v>
      </c>
      <c r="P10">
        <f t="shared" si="0"/>
        <v>241685.21193059889</v>
      </c>
      <c r="Q10">
        <v>1102.72373433861</v>
      </c>
      <c r="R10">
        <v>0</v>
      </c>
      <c r="S10">
        <v>0</v>
      </c>
      <c r="T10">
        <v>0</v>
      </c>
    </row>
    <row r="11" spans="1:22" x14ac:dyDescent="0.4">
      <c r="G11" s="4"/>
    </row>
    <row r="12" spans="1:22" x14ac:dyDescent="0.4">
      <c r="A12" s="3" t="s">
        <v>20</v>
      </c>
      <c r="B12" s="3" t="s">
        <v>21</v>
      </c>
      <c r="C12">
        <v>0</v>
      </c>
      <c r="D12">
        <f>J12+K12+L12+M12+N12</f>
        <v>112135.0691851889</v>
      </c>
      <c r="E12">
        <v>282179.67123287602</v>
      </c>
      <c r="F12">
        <v>0.82463325578173197</v>
      </c>
      <c r="G12" s="4">
        <v>18240.8407502021</v>
      </c>
      <c r="H12">
        <v>4851.2693328072801</v>
      </c>
      <c r="I12">
        <v>2606.1355131391001</v>
      </c>
      <c r="J12">
        <v>25698.245596148499</v>
      </c>
      <c r="K12">
        <v>50843.1840059237</v>
      </c>
      <c r="L12">
        <v>15303.7983857831</v>
      </c>
      <c r="M12">
        <v>19297.530489448302</v>
      </c>
      <c r="N12">
        <v>992.31070788530405</v>
      </c>
      <c r="O12">
        <v>0</v>
      </c>
      <c r="P12">
        <f t="shared" si="0"/>
        <v>232694.7410041854</v>
      </c>
      <c r="Q12">
        <v>1101.5718970651201</v>
      </c>
      <c r="R12">
        <v>0</v>
      </c>
      <c r="S12">
        <v>0</v>
      </c>
      <c r="T12">
        <v>0</v>
      </c>
    </row>
    <row r="13" spans="1:22" x14ac:dyDescent="0.4">
      <c r="A13" s="5" t="s">
        <v>22</v>
      </c>
      <c r="B13" s="5" t="s">
        <v>21</v>
      </c>
      <c r="C13">
        <v>0</v>
      </c>
      <c r="D13">
        <f>J13+K13+L13+M13+N13</f>
        <v>119603.35915373031</v>
      </c>
      <c r="E13">
        <v>282179.67177163501</v>
      </c>
      <c r="F13">
        <v>0.85109968930394098</v>
      </c>
      <c r="G13">
        <v>20424.331721278701</v>
      </c>
      <c r="H13">
        <v>5117.5665325995597</v>
      </c>
      <c r="I13">
        <v>7308.5385824584</v>
      </c>
      <c r="J13">
        <v>32850.436836336601</v>
      </c>
      <c r="K13">
        <v>50924.339061968501</v>
      </c>
      <c r="L13">
        <v>15521.9023672608</v>
      </c>
      <c r="M13">
        <v>19314.3701802791</v>
      </c>
      <c r="N13">
        <v>992.31070788530405</v>
      </c>
      <c r="O13">
        <v>0</v>
      </c>
      <c r="P13">
        <f t="shared" si="0"/>
        <v>240163.03097272682</v>
      </c>
      <c r="Q13">
        <v>1143.3910977538401</v>
      </c>
      <c r="R13">
        <v>5393.7865087666896</v>
      </c>
      <c r="S13" s="5">
        <v>215.751460350667</v>
      </c>
      <c r="T13">
        <v>0.33425013552507798</v>
      </c>
    </row>
    <row r="14" spans="1:22" hidden="1" x14ac:dyDescent="0.4">
      <c r="G14" s="4"/>
    </row>
    <row r="15" spans="1:22" hidden="1" x14ac:dyDescent="0.4">
      <c r="A15" t="s">
        <v>20</v>
      </c>
      <c r="B15" t="s">
        <v>23</v>
      </c>
      <c r="C15">
        <v>1</v>
      </c>
      <c r="D15">
        <v>112765.52483279799</v>
      </c>
      <c r="E15">
        <v>282322.94999999902</v>
      </c>
      <c r="F15">
        <v>0.82996266282879405</v>
      </c>
      <c r="G15" s="4">
        <v>18232.263309167702</v>
      </c>
      <c r="H15">
        <v>6458.86539103209</v>
      </c>
      <c r="I15">
        <v>2586.49818260132</v>
      </c>
      <c r="J15">
        <v>27277.626882801102</v>
      </c>
      <c r="K15">
        <v>50868.999999997599</v>
      </c>
      <c r="L15">
        <v>15311.568999999699</v>
      </c>
      <c r="M15">
        <v>19307.328949999501</v>
      </c>
      <c r="N15">
        <v>994.09650999907501</v>
      </c>
      <c r="O15">
        <v>0</v>
      </c>
      <c r="P15">
        <v>234317.507359679</v>
      </c>
      <c r="Q15">
        <v>1466.60679969635</v>
      </c>
      <c r="R15">
        <v>0</v>
      </c>
      <c r="S15">
        <v>0</v>
      </c>
      <c r="T15">
        <v>0</v>
      </c>
    </row>
    <row r="16" spans="1:22" hidden="1" x14ac:dyDescent="0.4">
      <c r="A16" s="6" t="s">
        <v>22</v>
      </c>
      <c r="B16" s="6" t="s">
        <v>23</v>
      </c>
      <c r="C16">
        <v>1</v>
      </c>
      <c r="D16">
        <v>120212.88333435199</v>
      </c>
      <c r="E16">
        <v>282179.67123287602</v>
      </c>
      <c r="F16">
        <v>0.85677633971623302</v>
      </c>
      <c r="G16">
        <v>20695.8603534904</v>
      </c>
      <c r="H16">
        <v>4947.2117663766303</v>
      </c>
      <c r="I16">
        <v>9125.2983334621895</v>
      </c>
      <c r="J16">
        <v>34768.370453329197</v>
      </c>
      <c r="K16">
        <v>50843.184005889801</v>
      </c>
      <c r="L16">
        <v>15303.798385692</v>
      </c>
      <c r="M16">
        <v>19297.530489441298</v>
      </c>
      <c r="N16">
        <v>992.31070788530405</v>
      </c>
      <c r="O16">
        <v>0</v>
      </c>
      <c r="P16">
        <v>241764.86586123399</v>
      </c>
      <c r="Q16">
        <v>1105.32962817471</v>
      </c>
      <c r="R16">
        <v>0</v>
      </c>
    </row>
    <row r="17" spans="1:22" x14ac:dyDescent="0.4">
      <c r="G17" s="4"/>
    </row>
    <row r="18" spans="1:22" x14ac:dyDescent="0.4">
      <c r="A18" t="s">
        <v>20</v>
      </c>
      <c r="B18" t="s">
        <v>23</v>
      </c>
      <c r="C18">
        <v>2</v>
      </c>
      <c r="D18">
        <f>J18+K18+L18+M18+N18</f>
        <v>112730.2285589885</v>
      </c>
      <c r="E18">
        <v>282179.67125484499</v>
      </c>
      <c r="F18">
        <v>0.826742406143402</v>
      </c>
      <c r="G18" s="4">
        <v>18663.290146715601</v>
      </c>
      <c r="H18">
        <v>4963.6224309139197</v>
      </c>
      <c r="I18">
        <v>2666.4923762402</v>
      </c>
      <c r="J18">
        <v>26293.4049538697</v>
      </c>
      <c r="K18">
        <v>50843.184012302001</v>
      </c>
      <c r="L18">
        <v>15303.798393478701</v>
      </c>
      <c r="M18">
        <v>19297.530491452799</v>
      </c>
      <c r="N18">
        <v>992.31070788530405</v>
      </c>
      <c r="O18">
        <v>0</v>
      </c>
      <c r="P18">
        <f t="shared" ref="P18:P19" si="1">D18+$P$1</f>
        <v>233289.90037798503</v>
      </c>
      <c r="Q18">
        <v>1127.0837800240299</v>
      </c>
      <c r="R18">
        <v>0</v>
      </c>
      <c r="S18">
        <v>0</v>
      </c>
      <c r="T18">
        <v>0</v>
      </c>
    </row>
    <row r="19" spans="1:22" x14ac:dyDescent="0.4">
      <c r="A19" s="5" t="s">
        <v>22</v>
      </c>
      <c r="B19" s="5" t="s">
        <v>23</v>
      </c>
      <c r="C19">
        <v>2</v>
      </c>
      <c r="D19">
        <f>J19+K19+L19+M19+N19</f>
        <v>118976.38088535203</v>
      </c>
      <c r="E19">
        <v>282179.67123287602</v>
      </c>
      <c r="F19">
        <v>0.84881345148898202</v>
      </c>
      <c r="G19">
        <v>19987.387727355999</v>
      </c>
      <c r="H19">
        <v>6536.1025167957996</v>
      </c>
      <c r="I19">
        <v>5997.9150270156997</v>
      </c>
      <c r="J19">
        <v>32521.405271167499</v>
      </c>
      <c r="K19">
        <v>50843.1840059237</v>
      </c>
      <c r="L19">
        <v>15303.798385783</v>
      </c>
      <c r="M19">
        <v>19297.530489448302</v>
      </c>
      <c r="N19">
        <v>1010.46273302954</v>
      </c>
      <c r="O19">
        <v>0</v>
      </c>
      <c r="P19">
        <f t="shared" si="1"/>
        <v>239536.05270434855</v>
      </c>
      <c r="Q19">
        <v>1460.3271566616399</v>
      </c>
      <c r="R19">
        <v>17682.539594118301</v>
      </c>
      <c r="S19" s="2">
        <v>148.59276969847301</v>
      </c>
      <c r="T19">
        <v>0.12159211918729</v>
      </c>
    </row>
    <row r="20" spans="1:22" x14ac:dyDescent="0.4">
      <c r="A20" s="5"/>
      <c r="B20" s="5"/>
      <c r="K20">
        <f>K19+L19+M19</f>
        <v>85444.512881154995</v>
      </c>
      <c r="S20" s="2"/>
    </row>
    <row r="21" spans="1:22" x14ac:dyDescent="0.4">
      <c r="A21" t="s">
        <v>20</v>
      </c>
      <c r="B21" t="s">
        <v>25</v>
      </c>
      <c r="C21">
        <v>2</v>
      </c>
    </row>
    <row r="22" spans="1:22" x14ac:dyDescent="0.4">
      <c r="A22" s="3" t="s">
        <v>22</v>
      </c>
      <c r="B22" s="3" t="s">
        <v>25</v>
      </c>
      <c r="C22" s="3">
        <v>2</v>
      </c>
      <c r="D22">
        <f>J22+K22+L22+M22+N22</f>
        <v>119071.81918044275</v>
      </c>
      <c r="E22">
        <v>282179.67123275797</v>
      </c>
      <c r="F22">
        <v>0.84915166967023703</v>
      </c>
      <c r="G22">
        <v>20001.758947398499</v>
      </c>
      <c r="H22">
        <v>6545.6854256406996</v>
      </c>
      <c r="I22">
        <v>6069.3991958142597</v>
      </c>
      <c r="J22">
        <v>32616.843568853401</v>
      </c>
      <c r="K22">
        <v>50843.1840052314</v>
      </c>
      <c r="L22">
        <v>15303.7983840124</v>
      </c>
      <c r="M22">
        <v>19297.530489315999</v>
      </c>
      <c r="N22">
        <v>1010.46273302954</v>
      </c>
      <c r="O22">
        <v>0</v>
      </c>
      <c r="P22">
        <f t="shared" ref="P22" si="2">D22+$P$1</f>
        <v>239631.49099943927</v>
      </c>
      <c r="Q22">
        <v>1462.4682301396899</v>
      </c>
      <c r="R22">
        <v>17686.324085333301</v>
      </c>
      <c r="S22" s="2">
        <v>149.88410241807901</v>
      </c>
      <c r="T22">
        <v>0.116169937532689</v>
      </c>
    </row>
    <row r="23" spans="1:22" x14ac:dyDescent="0.4">
      <c r="G23" s="4"/>
    </row>
    <row r="24" spans="1:22" x14ac:dyDescent="0.4">
      <c r="A24" s="5" t="s">
        <v>20</v>
      </c>
      <c r="B24" s="5" t="s">
        <v>21</v>
      </c>
      <c r="C24">
        <v>2</v>
      </c>
      <c r="D24">
        <f>J24+K24+L24+M24+N24</f>
        <v>112730.23358631571</v>
      </c>
      <c r="E24">
        <v>282179.67125484499</v>
      </c>
      <c r="F24">
        <v>0.82674242395945297</v>
      </c>
      <c r="G24" s="4">
        <v>18663.290416404601</v>
      </c>
      <c r="H24">
        <v>4963.6225077490999</v>
      </c>
      <c r="I24">
        <v>2666.4924108713899</v>
      </c>
      <c r="J24">
        <v>26293.405335025102</v>
      </c>
      <c r="K24">
        <v>50843.185205157402</v>
      </c>
      <c r="L24">
        <v>15303.8015992776</v>
      </c>
      <c r="M24">
        <v>19297.530738970301</v>
      </c>
      <c r="N24">
        <v>992.31070788530405</v>
      </c>
      <c r="O24">
        <v>0</v>
      </c>
      <c r="P24">
        <f t="shared" ref="P24:P25" si="3">D24+$P$1</f>
        <v>233289.90540531222</v>
      </c>
      <c r="Q24">
        <v>1127.08379747136</v>
      </c>
      <c r="R24">
        <v>0</v>
      </c>
      <c r="S24">
        <v>0</v>
      </c>
      <c r="T24">
        <v>0</v>
      </c>
    </row>
    <row r="25" spans="1:22" x14ac:dyDescent="0.4">
      <c r="A25" s="3" t="s">
        <v>22</v>
      </c>
      <c r="B25" s="3" t="s">
        <v>21</v>
      </c>
      <c r="C25">
        <v>2</v>
      </c>
      <c r="D25">
        <f>J25+K25+L25+M25+N25</f>
        <v>117782.20721135012</v>
      </c>
      <c r="E25">
        <v>282179.67123287602</v>
      </c>
      <c r="F25">
        <v>0.84310254173290999</v>
      </c>
      <c r="G25">
        <v>19840.537050750401</v>
      </c>
      <c r="H25">
        <v>5280.6330826172398</v>
      </c>
      <c r="I25">
        <v>4877.4899493259099</v>
      </c>
      <c r="J25">
        <v>29998.660082693601</v>
      </c>
      <c r="K25">
        <v>51077.135880394701</v>
      </c>
      <c r="L25">
        <v>15932.544048423801</v>
      </c>
      <c r="M25">
        <v>19346.075503401102</v>
      </c>
      <c r="N25">
        <v>1427.7916964369099</v>
      </c>
      <c r="O25">
        <v>0</v>
      </c>
      <c r="P25">
        <f t="shared" si="3"/>
        <v>238341.87903034664</v>
      </c>
      <c r="Q25">
        <v>1179.82420335646</v>
      </c>
      <c r="R25">
        <v>12780.012944633199</v>
      </c>
      <c r="S25">
        <v>511.20051778532797</v>
      </c>
      <c r="T25">
        <v>0.18120426001776399</v>
      </c>
      <c r="U25">
        <v>11081.318719635499</v>
      </c>
      <c r="V25">
        <v>77.491739298150407</v>
      </c>
    </row>
    <row r="26" spans="1:22" x14ac:dyDescent="0.4">
      <c r="A26" s="6"/>
      <c r="B26" s="6"/>
    </row>
    <row r="27" spans="1:22" x14ac:dyDescent="0.4">
      <c r="A27" s="3" t="s">
        <v>20</v>
      </c>
      <c r="B27" s="3" t="s">
        <v>23</v>
      </c>
      <c r="C27">
        <v>4</v>
      </c>
      <c r="D27">
        <f>J27+K27+L27+M27+N27</f>
        <v>112734.6898960558</v>
      </c>
      <c r="E27">
        <v>282179.67125500599</v>
      </c>
      <c r="F27">
        <v>0.82675821641390801</v>
      </c>
      <c r="G27">
        <v>18666.456843152599</v>
      </c>
      <c r="H27">
        <v>4964.4646341457201</v>
      </c>
      <c r="I27">
        <v>2666.9448136542001</v>
      </c>
      <c r="J27">
        <v>26297.866290952599</v>
      </c>
      <c r="K27">
        <v>50843.184012316902</v>
      </c>
      <c r="L27">
        <v>15303.7983934401</v>
      </c>
      <c r="M27">
        <v>19297.530491460901</v>
      </c>
      <c r="N27">
        <v>992.31070788530405</v>
      </c>
      <c r="O27">
        <v>0</v>
      </c>
      <c r="P27">
        <f t="shared" ref="P27:P28" si="4">D27+$P$1</f>
        <v>233294.36171505234</v>
      </c>
      <c r="Q27">
        <v>1127.27501819133</v>
      </c>
      <c r="R27">
        <v>0</v>
      </c>
      <c r="S27">
        <v>0</v>
      </c>
      <c r="T27">
        <v>0</v>
      </c>
    </row>
    <row r="28" spans="1:22" x14ac:dyDescent="0.4">
      <c r="A28" s="2" t="s">
        <v>22</v>
      </c>
      <c r="B28" t="s">
        <v>23</v>
      </c>
      <c r="C28">
        <v>4</v>
      </c>
      <c r="D28">
        <f>J28+K28+L28+M28+N28</f>
        <v>119012.76442945223</v>
      </c>
      <c r="E28">
        <v>282179.67123287602</v>
      </c>
      <c r="F28">
        <v>0.84894238899869401</v>
      </c>
      <c r="G28">
        <v>20022.627559674602</v>
      </c>
      <c r="H28">
        <v>6537.0412109993104</v>
      </c>
      <c r="I28">
        <v>5998.0824175879798</v>
      </c>
      <c r="J28">
        <v>32557.7511882619</v>
      </c>
      <c r="K28">
        <v>50843.193666259001</v>
      </c>
      <c r="L28">
        <v>15303.8243479339</v>
      </c>
      <c r="M28">
        <v>19297.532493967901</v>
      </c>
      <c r="N28">
        <v>1010.46273302954</v>
      </c>
      <c r="O28">
        <v>0</v>
      </c>
      <c r="P28">
        <f t="shared" si="4"/>
        <v>239572.43624844874</v>
      </c>
      <c r="Q28">
        <v>1460.5368984148499</v>
      </c>
      <c r="R28">
        <v>20030.045592225699</v>
      </c>
      <c r="S28" s="2">
        <v>178.83969278772901</v>
      </c>
      <c r="T28">
        <v>0.105527046108572</v>
      </c>
    </row>
    <row r="29" spans="1:22" x14ac:dyDescent="0.4">
      <c r="G29" s="4"/>
    </row>
    <row r="30" spans="1:22" x14ac:dyDescent="0.4">
      <c r="A30" s="2" t="s">
        <v>20</v>
      </c>
      <c r="B30" s="2" t="s">
        <v>21</v>
      </c>
      <c r="C30">
        <v>4</v>
      </c>
      <c r="D30">
        <f>J30+K30+L30+M30+N30</f>
        <v>113152.3743231883</v>
      </c>
      <c r="E30">
        <v>282179.67123264802</v>
      </c>
      <c r="F30">
        <v>0.82675819923868998</v>
      </c>
      <c r="G30">
        <v>18666.453028366999</v>
      </c>
      <c r="H30">
        <v>4964.46370011405</v>
      </c>
      <c r="I30">
        <v>2666.9442956819598</v>
      </c>
      <c r="J30">
        <v>26297.861024163001</v>
      </c>
      <c r="K30">
        <v>50843.184113183997</v>
      </c>
      <c r="L30">
        <v>15303.7986741435</v>
      </c>
      <c r="M30">
        <v>19297.530511697802</v>
      </c>
      <c r="N30" s="5">
        <v>1410</v>
      </c>
      <c r="O30">
        <v>0</v>
      </c>
      <c r="P30">
        <f t="shared" ref="P30:P32" si="5">D30+$P$1</f>
        <v>233712.04614218482</v>
      </c>
      <c r="Q30">
        <v>1127.27479036512</v>
      </c>
      <c r="R30">
        <v>0</v>
      </c>
      <c r="S30">
        <v>0</v>
      </c>
      <c r="T30">
        <v>0</v>
      </c>
    </row>
    <row r="31" spans="1:22" x14ac:dyDescent="0.4">
      <c r="A31" s="5" t="s">
        <v>22</v>
      </c>
      <c r="B31" s="5" t="s">
        <v>21</v>
      </c>
      <c r="C31">
        <v>4</v>
      </c>
      <c r="D31">
        <f>J31+K31+L31+M31+N31</f>
        <v>117790.41551491321</v>
      </c>
      <c r="E31">
        <v>282179.67123287602</v>
      </c>
      <c r="F31">
        <v>0.84310254173290999</v>
      </c>
      <c r="G31">
        <v>19840.537050750401</v>
      </c>
      <c r="H31">
        <v>5280.6330826172398</v>
      </c>
      <c r="I31">
        <v>4877.4899493259099</v>
      </c>
      <c r="J31">
        <v>29998.660082693601</v>
      </c>
      <c r="K31">
        <v>51077.135880394701</v>
      </c>
      <c r="L31">
        <v>15932.544048423801</v>
      </c>
      <c r="M31">
        <v>19346.075503401102</v>
      </c>
      <c r="N31" s="5">
        <v>1436</v>
      </c>
      <c r="O31">
        <v>0</v>
      </c>
      <c r="P31">
        <f t="shared" si="5"/>
        <v>238350.08733390973</v>
      </c>
      <c r="Q31">
        <v>1179.82420335646</v>
      </c>
      <c r="R31">
        <v>12780.012944633199</v>
      </c>
      <c r="S31">
        <v>511.20051778532797</v>
      </c>
      <c r="T31">
        <v>0.18120426001776399</v>
      </c>
      <c r="U31">
        <v>11081.318719635499</v>
      </c>
      <c r="V31">
        <v>77.491739298150407</v>
      </c>
    </row>
    <row r="32" spans="1:22" x14ac:dyDescent="0.4">
      <c r="A32" t="s">
        <v>22</v>
      </c>
      <c r="B32" t="s">
        <v>21</v>
      </c>
      <c r="C32">
        <v>4</v>
      </c>
      <c r="D32">
        <f>J32+K32+L32+M32+N32</f>
        <v>118576.07841019254</v>
      </c>
      <c r="E32">
        <v>282179.67123290099</v>
      </c>
      <c r="F32">
        <v>0.84579332713576405</v>
      </c>
      <c r="G32">
        <v>19619.107842410202</v>
      </c>
      <c r="H32">
        <v>6176.7328450860596</v>
      </c>
      <c r="I32" s="8">
        <v>1.43619850991576E-5</v>
      </c>
      <c r="J32">
        <v>25795.8407018582</v>
      </c>
      <c r="K32">
        <v>50989.945205476797</v>
      </c>
      <c r="L32">
        <v>20356.5524429125</v>
      </c>
      <c r="M32">
        <v>19971.362105022999</v>
      </c>
      <c r="N32">
        <v>1462.3779549220301</v>
      </c>
      <c r="O32">
        <v>0</v>
      </c>
      <c r="P32">
        <f t="shared" si="5"/>
        <v>239135.75022918906</v>
      </c>
      <c r="Q32">
        <v>1380.03506977654</v>
      </c>
      <c r="R32">
        <v>33615.943500043497</v>
      </c>
      <c r="S32">
        <v>908.53901351469096</v>
      </c>
      <c r="T32">
        <v>4.5273802587315601E-2</v>
      </c>
      <c r="U32">
        <v>36375.165695697498</v>
      </c>
      <c r="V32">
        <v>277.67302057784298</v>
      </c>
    </row>
    <row r="33" spans="1:22" x14ac:dyDescent="0.4">
      <c r="A33" s="27" t="s">
        <v>45</v>
      </c>
      <c r="B33" s="27"/>
      <c r="C33" s="27"/>
      <c r="D33">
        <f>D31-D32</f>
        <v>-785.66289527932531</v>
      </c>
      <c r="E33">
        <f t="shared" ref="E33:N33" si="6">E31-E32</f>
        <v>-2.4971086531877518E-8</v>
      </c>
      <c r="F33">
        <f t="shared" si="6"/>
        <v>-2.6907854028540568E-3</v>
      </c>
      <c r="G33">
        <f t="shared" si="6"/>
        <v>221.42920834019969</v>
      </c>
      <c r="H33">
        <f t="shared" si="6"/>
        <v>-896.09976246881979</v>
      </c>
      <c r="I33">
        <f t="shared" si="6"/>
        <v>4877.4899349639245</v>
      </c>
      <c r="J33">
        <f t="shared" si="6"/>
        <v>4202.8193808354008</v>
      </c>
      <c r="K33">
        <f t="shared" si="6"/>
        <v>87.19067491790338</v>
      </c>
      <c r="L33">
        <f t="shared" si="6"/>
        <v>-4424.0083944886992</v>
      </c>
      <c r="M33">
        <f t="shared" si="6"/>
        <v>-625.28660162189772</v>
      </c>
      <c r="N33">
        <f t="shared" si="6"/>
        <v>-26.377954922030085</v>
      </c>
      <c r="O33">
        <f t="shared" ref="O33:V33" si="7">O32-O31</f>
        <v>0</v>
      </c>
      <c r="P33">
        <f t="shared" si="7"/>
        <v>785.66289527932531</v>
      </c>
      <c r="Q33">
        <f t="shared" si="7"/>
        <v>200.21086642008004</v>
      </c>
      <c r="R33">
        <f t="shared" si="7"/>
        <v>20835.930555410298</v>
      </c>
      <c r="S33">
        <f t="shared" si="7"/>
        <v>397.33849572936299</v>
      </c>
      <c r="T33">
        <f t="shared" si="7"/>
        <v>-0.1359304574304484</v>
      </c>
      <c r="U33">
        <f t="shared" si="7"/>
        <v>25293.846976061999</v>
      </c>
      <c r="V33">
        <f t="shared" si="7"/>
        <v>200.18128127969257</v>
      </c>
    </row>
    <row r="34" spans="1:22" x14ac:dyDescent="0.4">
      <c r="A34" s="2"/>
      <c r="B34" s="2"/>
      <c r="K34" s="10"/>
    </row>
    <row r="35" spans="1:22" x14ac:dyDescent="0.4">
      <c r="A35" s="7" t="s">
        <v>38</v>
      </c>
      <c r="B35" s="2"/>
      <c r="S35" s="2"/>
    </row>
    <row r="36" spans="1:22" x14ac:dyDescent="0.4">
      <c r="A36" t="s">
        <v>20</v>
      </c>
      <c r="B36" t="s">
        <v>23</v>
      </c>
      <c r="C36">
        <v>0</v>
      </c>
      <c r="D36">
        <f>J36+K36+L36+M36+N36</f>
        <v>116993.31924575487</v>
      </c>
      <c r="E36">
        <v>282190.859999999</v>
      </c>
      <c r="F36">
        <v>0.84033715458764902</v>
      </c>
      <c r="G36">
        <v>21182.959346048301</v>
      </c>
      <c r="H36">
        <v>6486.2597020478397</v>
      </c>
      <c r="I36">
        <v>2466.3619080631902</v>
      </c>
      <c r="J36">
        <v>30135.5809561594</v>
      </c>
      <c r="K36">
        <v>50845.200000000099</v>
      </c>
      <c r="L36">
        <v>15304.405199999899</v>
      </c>
      <c r="M36">
        <v>19298.29566</v>
      </c>
      <c r="N36">
        <v>1409.83742959549</v>
      </c>
      <c r="O36">
        <v>0</v>
      </c>
      <c r="P36">
        <f t="shared" ref="P36:P37" si="8">D36+$P$1</f>
        <v>237552.9910647514</v>
      </c>
      <c r="Q36">
        <v>1102.0926609763501</v>
      </c>
      <c r="R36">
        <v>0</v>
      </c>
      <c r="U36">
        <v>15.5670440273115</v>
      </c>
      <c r="V36">
        <v>9.2660976353045002E-2</v>
      </c>
    </row>
    <row r="37" spans="1:22" x14ac:dyDescent="0.4">
      <c r="A37" t="s">
        <v>22</v>
      </c>
      <c r="B37" t="s">
        <v>23</v>
      </c>
      <c r="C37">
        <v>0</v>
      </c>
      <c r="D37">
        <f>J37+K37+L37+M37+N37</f>
        <v>125900.82058980259</v>
      </c>
      <c r="E37">
        <v>282190.859999999</v>
      </c>
      <c r="F37">
        <v>0.87190267497356</v>
      </c>
      <c r="G37">
        <v>23139.129735574901</v>
      </c>
      <c r="H37">
        <v>6486.2597020478397</v>
      </c>
      <c r="I37">
        <v>9417.6928625843393</v>
      </c>
      <c r="J37">
        <v>39043.082300207097</v>
      </c>
      <c r="K37">
        <v>50845.200000000099</v>
      </c>
      <c r="L37">
        <v>15304.405199999899</v>
      </c>
      <c r="M37">
        <v>19298.29566</v>
      </c>
      <c r="N37">
        <v>1409.83742959549</v>
      </c>
      <c r="O37">
        <v>0</v>
      </c>
      <c r="P37">
        <f t="shared" si="8"/>
        <v>246460.49240879912</v>
      </c>
      <c r="Q37">
        <v>1102.0926609763501</v>
      </c>
      <c r="R37">
        <v>0</v>
      </c>
      <c r="U37">
        <v>15.5670440273115</v>
      </c>
      <c r="V37">
        <v>9.2660976353045002E-2</v>
      </c>
    </row>
    <row r="38" spans="1:22" x14ac:dyDescent="0.4">
      <c r="A38" s="7"/>
      <c r="B38" s="2"/>
      <c r="S38" s="2"/>
    </row>
    <row r="39" spans="1:22" x14ac:dyDescent="0.4">
      <c r="A39" s="3" t="s">
        <v>20</v>
      </c>
      <c r="B39" t="s">
        <v>21</v>
      </c>
      <c r="C39">
        <v>4</v>
      </c>
      <c r="D39">
        <f>J39+K39+L39+M39+N39</f>
        <v>116978.51468315258</v>
      </c>
      <c r="E39">
        <v>282179.671254922</v>
      </c>
      <c r="F39">
        <v>0.84031800989031202</v>
      </c>
      <c r="G39">
        <v>21174.931050348201</v>
      </c>
      <c r="H39">
        <v>6483.8014286718599</v>
      </c>
      <c r="I39">
        <v>2465.4271592782502</v>
      </c>
      <c r="J39">
        <v>30124.159638298399</v>
      </c>
      <c r="K39">
        <v>50843.185222512198</v>
      </c>
      <c r="L39">
        <v>15303.8016501727</v>
      </c>
      <c r="M39">
        <v>19297.530742573799</v>
      </c>
      <c r="N39">
        <v>1409.83742959549</v>
      </c>
      <c r="O39">
        <v>0</v>
      </c>
      <c r="P39">
        <f t="shared" ref="P39:P40" si="9">D39+$P$1</f>
        <v>237538.1865021491</v>
      </c>
      <c r="Q39">
        <v>1101.67497109485</v>
      </c>
      <c r="R39">
        <v>54.604983409531002</v>
      </c>
      <c r="S39">
        <v>0.32502966315197002</v>
      </c>
      <c r="T39">
        <v>-106.83117764915301</v>
      </c>
      <c r="U39">
        <v>0</v>
      </c>
    </row>
    <row r="40" spans="1:22" x14ac:dyDescent="0.4">
      <c r="A40" s="3" t="s">
        <v>22</v>
      </c>
      <c r="B40" t="s">
        <v>21</v>
      </c>
      <c r="C40">
        <v>4</v>
      </c>
      <c r="D40">
        <f>J40+K40+L40+M40+N40</f>
        <v>122209.93333437521</v>
      </c>
      <c r="E40">
        <v>282179.67123287602</v>
      </c>
      <c r="F40">
        <v>0.858784478742043</v>
      </c>
      <c r="G40">
        <v>22232.9956437156</v>
      </c>
      <c r="H40">
        <v>6892.28291987389</v>
      </c>
      <c r="I40">
        <v>5063.3926573547897</v>
      </c>
      <c r="J40">
        <v>34188.671220944299</v>
      </c>
      <c r="K40">
        <v>51137.498573919998</v>
      </c>
      <c r="L40">
        <v>16094.7687872735</v>
      </c>
      <c r="M40">
        <v>19358.6007623076</v>
      </c>
      <c r="N40">
        <v>1430.39398992981</v>
      </c>
      <c r="O40">
        <v>0</v>
      </c>
      <c r="P40">
        <f t="shared" si="9"/>
        <v>242769.60515337173</v>
      </c>
      <c r="Q40">
        <v>1171.0808202107701</v>
      </c>
      <c r="R40">
        <v>13170.183258303599</v>
      </c>
      <c r="S40">
        <v>487.784565122358</v>
      </c>
      <c r="T40">
        <v>-0.16035717141929801</v>
      </c>
      <c r="U40">
        <v>9733.9102750884304</v>
      </c>
      <c r="V40">
        <v>69.034824646017199</v>
      </c>
    </row>
    <row r="41" spans="1:22" x14ac:dyDescent="0.4">
      <c r="A41" s="3"/>
    </row>
    <row r="42" spans="1:22" x14ac:dyDescent="0.4">
      <c r="A42" s="7" t="s">
        <v>41</v>
      </c>
    </row>
    <row r="43" spans="1:22" x14ac:dyDescent="0.4">
      <c r="A43" s="3" t="s">
        <v>20</v>
      </c>
    </row>
    <row r="44" spans="1:22" x14ac:dyDescent="0.4">
      <c r="A44" t="s">
        <v>22</v>
      </c>
      <c r="B44" t="s">
        <v>23</v>
      </c>
      <c r="C44">
        <v>0</v>
      </c>
      <c r="D44">
        <f>J44+K44+L44+M44+N44</f>
        <v>125926.94126070438</v>
      </c>
      <c r="E44">
        <v>282190.859999999</v>
      </c>
      <c r="F44">
        <v>0.87199523881812102</v>
      </c>
      <c r="G44">
        <v>23255.929405575898</v>
      </c>
      <c r="H44">
        <v>5559.1797407744398</v>
      </c>
      <c r="I44">
        <v>10254.0938247584</v>
      </c>
      <c r="J44">
        <v>39069.202971108898</v>
      </c>
      <c r="K44">
        <v>50845.200000000099</v>
      </c>
      <c r="L44">
        <v>15304.405199999899</v>
      </c>
      <c r="M44">
        <v>19298.29566</v>
      </c>
      <c r="N44">
        <v>1409.83742959549</v>
      </c>
      <c r="O44">
        <v>0</v>
      </c>
      <c r="P44">
        <f t="shared" ref="P44" si="10">D44+$P$1</f>
        <v>246486.61307970091</v>
      </c>
      <c r="Q44">
        <v>1102.0926609763501</v>
      </c>
      <c r="R44">
        <v>0</v>
      </c>
      <c r="U44">
        <v>15.5670440273115</v>
      </c>
      <c r="V44">
        <v>9.2660976353045002E-2</v>
      </c>
    </row>
    <row r="45" spans="1:22" x14ac:dyDescent="0.4">
      <c r="A45" s="3"/>
    </row>
    <row r="46" spans="1:22" x14ac:dyDescent="0.4">
      <c r="A46" s="3" t="s">
        <v>20</v>
      </c>
    </row>
    <row r="47" spans="1:22" x14ac:dyDescent="0.4">
      <c r="A47" t="s">
        <v>22</v>
      </c>
      <c r="B47" t="s">
        <v>21</v>
      </c>
      <c r="C47">
        <v>4</v>
      </c>
      <c r="D47">
        <f>J47+K47+L47+M47+N47</f>
        <v>121548.56732352625</v>
      </c>
      <c r="E47">
        <v>282179.67171295901</v>
      </c>
      <c r="F47">
        <v>0.85645911177426404</v>
      </c>
      <c r="G47">
        <v>21922.670949606902</v>
      </c>
      <c r="H47">
        <v>5892.0772301955703</v>
      </c>
      <c r="I47">
        <v>5494.1642193806101</v>
      </c>
      <c r="J47">
        <v>33308.9123991831</v>
      </c>
      <c r="K47">
        <v>51194.9024604468</v>
      </c>
      <c r="L47">
        <v>16249.0415258787</v>
      </c>
      <c r="M47">
        <v>19370.512083644498</v>
      </c>
      <c r="N47">
        <v>1425.19885437316</v>
      </c>
      <c r="O47">
        <v>0</v>
      </c>
      <c r="P47">
        <f>D47+$P$1</f>
        <v>242108.23914252277</v>
      </c>
      <c r="Q47">
        <v>1168.0887035395799</v>
      </c>
      <c r="R47">
        <v>12792.663740961099</v>
      </c>
      <c r="S47">
        <v>511.70654963844697</v>
      </c>
      <c r="T47">
        <v>-0.11339056141074599</v>
      </c>
      <c r="U47">
        <v>7320.3796501147199</v>
      </c>
      <c r="V47">
        <v>51.1914660847183</v>
      </c>
    </row>
    <row r="49" spans="1:22" x14ac:dyDescent="0.4">
      <c r="A49" s="1" t="s">
        <v>27</v>
      </c>
      <c r="G49" s="4"/>
    </row>
    <row r="50" spans="1:22" x14ac:dyDescent="0.4">
      <c r="A50" s="2" t="s">
        <v>20</v>
      </c>
      <c r="B50" s="2" t="s">
        <v>23</v>
      </c>
      <c r="C50">
        <v>0</v>
      </c>
      <c r="D50">
        <f>J50+K50+L50+M50+N50</f>
        <v>117853.9906257109</v>
      </c>
      <c r="E50">
        <v>282179.67123287602</v>
      </c>
      <c r="F50">
        <v>0.84490020632262297</v>
      </c>
      <c r="G50">
        <v>23556.420831705898</v>
      </c>
      <c r="H50">
        <v>6947.4542183048998</v>
      </c>
      <c r="I50">
        <v>913.29198665996</v>
      </c>
      <c r="J50">
        <v>31417.167036670799</v>
      </c>
      <c r="K50">
        <v>50843.184005923598</v>
      </c>
      <c r="L50">
        <v>15303.798385783</v>
      </c>
      <c r="M50">
        <v>19297.5304894482</v>
      </c>
      <c r="N50">
        <v>992.31070788530405</v>
      </c>
      <c r="O50">
        <v>0</v>
      </c>
      <c r="P50">
        <f t="shared" ref="P50:P57" si="11">D50+$P$1</f>
        <v>238413.66244470741</v>
      </c>
      <c r="Q50">
        <v>1102.6552392369899</v>
      </c>
      <c r="R50">
        <v>0</v>
      </c>
      <c r="S50">
        <v>0</v>
      </c>
      <c r="T50">
        <v>0</v>
      </c>
    </row>
    <row r="51" spans="1:22" x14ac:dyDescent="0.4">
      <c r="A51" s="5" t="s">
        <v>22</v>
      </c>
      <c r="B51" s="5" t="s">
        <v>23</v>
      </c>
      <c r="C51">
        <v>0</v>
      </c>
      <c r="D51">
        <f>J51+K51+L51+M51+N51</f>
        <v>182278.61424564509</v>
      </c>
      <c r="E51">
        <v>282190.859999999</v>
      </c>
      <c r="F51">
        <v>1.071688712182</v>
      </c>
      <c r="G51">
        <v>84096.123187821693</v>
      </c>
      <c r="H51">
        <v>6548.9454112036401</v>
      </c>
      <c r="I51">
        <v>4775.8073570242204</v>
      </c>
      <c r="J51">
        <v>95420.875956049596</v>
      </c>
      <c r="K51">
        <v>50845.200000000099</v>
      </c>
      <c r="L51">
        <v>15304.405199999899</v>
      </c>
      <c r="M51">
        <v>19298.29566</v>
      </c>
      <c r="N51">
        <v>1409.83742959549</v>
      </c>
      <c r="O51">
        <v>0</v>
      </c>
      <c r="P51">
        <f t="shared" si="11"/>
        <v>302838.28606464161</v>
      </c>
      <c r="Q51">
        <v>1101.77087397171</v>
      </c>
      <c r="R51">
        <v>38.493172752110603</v>
      </c>
      <c r="S51">
        <v>0.22912602828637299</v>
      </c>
      <c r="T51">
        <v>123.174719446704</v>
      </c>
      <c r="U51">
        <v>0</v>
      </c>
    </row>
    <row r="52" spans="1:22" x14ac:dyDescent="0.4">
      <c r="A52" s="3"/>
      <c r="G52" s="4"/>
    </row>
    <row r="53" spans="1:22" x14ac:dyDescent="0.4">
      <c r="A53" s="2" t="s">
        <v>20</v>
      </c>
      <c r="B53" s="2" t="s">
        <v>21</v>
      </c>
      <c r="C53">
        <v>0</v>
      </c>
      <c r="D53">
        <f>J53+K53+L53+M53+N53</f>
        <v>118024.73030148289</v>
      </c>
      <c r="E53">
        <v>282179.67123286898</v>
      </c>
      <c r="F53">
        <v>0.845505280653571</v>
      </c>
      <c r="G53" s="4">
        <v>23683.129427060001</v>
      </c>
      <c r="H53">
        <v>6986.3695969997798</v>
      </c>
      <c r="I53">
        <v>918.40768838365295</v>
      </c>
      <c r="J53">
        <v>31587.906712443499</v>
      </c>
      <c r="K53">
        <v>50843.1840059237</v>
      </c>
      <c r="L53">
        <v>15303.7983857823</v>
      </c>
      <c r="M53">
        <v>19297.530489448101</v>
      </c>
      <c r="N53">
        <v>992.31070788530405</v>
      </c>
      <c r="O53">
        <v>0</v>
      </c>
      <c r="P53">
        <f t="shared" si="11"/>
        <v>238584.40212047941</v>
      </c>
      <c r="Q53">
        <v>1108.83163779344</v>
      </c>
      <c r="R53">
        <v>0</v>
      </c>
      <c r="S53">
        <v>230512.59606633501</v>
      </c>
      <c r="T53">
        <v>1103.3673370121001</v>
      </c>
    </row>
    <row r="54" spans="1:22" x14ac:dyDescent="0.4">
      <c r="A54" s="2" t="s">
        <v>22</v>
      </c>
      <c r="B54" s="2" t="s">
        <v>21</v>
      </c>
      <c r="C54">
        <v>0</v>
      </c>
      <c r="D54">
        <f>J54+K54+L54+M54+N54</f>
        <v>172556.33199183288</v>
      </c>
      <c r="E54">
        <v>282179.67123287701</v>
      </c>
      <c r="F54">
        <v>1.03875662810921</v>
      </c>
      <c r="G54">
        <v>73514.1870928641</v>
      </c>
      <c r="H54">
        <v>7482.8438362204697</v>
      </c>
      <c r="I54">
        <v>4044.9309872213798</v>
      </c>
      <c r="J54">
        <v>85041.961916305998</v>
      </c>
      <c r="K54">
        <v>51119.832654572398</v>
      </c>
      <c r="L54">
        <v>16047.2916290263</v>
      </c>
      <c r="M54">
        <v>19354.9350840429</v>
      </c>
      <c r="N54">
        <v>992.31070788530405</v>
      </c>
      <c r="O54">
        <v>0</v>
      </c>
      <c r="P54">
        <f t="shared" si="11"/>
        <v>293116.00381082937</v>
      </c>
      <c r="Q54">
        <v>1187.62883512946</v>
      </c>
      <c r="R54">
        <v>9393.8913494494009</v>
      </c>
      <c r="S54">
        <v>260.94142637359403</v>
      </c>
      <c r="T54">
        <v>-3.6405201993767098</v>
      </c>
    </row>
    <row r="55" spans="1:22" x14ac:dyDescent="0.4">
      <c r="G55" s="4"/>
    </row>
    <row r="56" spans="1:22" x14ac:dyDescent="0.4">
      <c r="A56" s="2" t="s">
        <v>20</v>
      </c>
      <c r="B56" s="2" t="s">
        <v>21</v>
      </c>
      <c r="C56">
        <v>4</v>
      </c>
      <c r="D56">
        <f>J56+K56+L56+M56+N56</f>
        <v>117826.0601945299</v>
      </c>
      <c r="E56">
        <v>282179.67123287602</v>
      </c>
      <c r="F56">
        <v>0.84480122530439805</v>
      </c>
      <c r="G56" s="4">
        <v>23535.478746437901</v>
      </c>
      <c r="H56">
        <v>6941.2778055266899</v>
      </c>
      <c r="I56">
        <v>912.48005352310201</v>
      </c>
      <c r="J56">
        <v>31389.236605487698</v>
      </c>
      <c r="K56">
        <v>50843.184005923998</v>
      </c>
      <c r="L56">
        <v>15303.798385784499</v>
      </c>
      <c r="M56">
        <v>19297.5304894484</v>
      </c>
      <c r="N56">
        <v>992.31070788530405</v>
      </c>
      <c r="O56">
        <v>0</v>
      </c>
      <c r="P56">
        <f t="shared" si="11"/>
        <v>238385.73201352643</v>
      </c>
      <c r="Q56">
        <v>0</v>
      </c>
      <c r="R56">
        <v>0</v>
      </c>
      <c r="S56">
        <v>0</v>
      </c>
      <c r="T56">
        <v>0</v>
      </c>
    </row>
    <row r="57" spans="1:22" x14ac:dyDescent="0.4">
      <c r="A57" s="5" t="s">
        <v>22</v>
      </c>
      <c r="B57" s="5" t="s">
        <v>21</v>
      </c>
      <c r="C57">
        <v>4</v>
      </c>
      <c r="D57">
        <f>J57+K57+L57+M57+N57</f>
        <v>121985.71201190345</v>
      </c>
      <c r="E57">
        <v>282179.671232878</v>
      </c>
      <c r="F57">
        <v>0.857837610925831</v>
      </c>
      <c r="G57">
        <v>20995.449422334499</v>
      </c>
      <c r="H57">
        <v>8679.2468578908702</v>
      </c>
      <c r="I57">
        <v>0</v>
      </c>
      <c r="J57">
        <v>29674.696280225398</v>
      </c>
      <c r="K57">
        <v>50866.657967699502</v>
      </c>
      <c r="L57">
        <v>20025.218226134399</v>
      </c>
      <c r="M57">
        <v>19945.780021308201</v>
      </c>
      <c r="N57">
        <v>1473.35951653596</v>
      </c>
      <c r="O57">
        <v>0</v>
      </c>
      <c r="P57">
        <f t="shared" si="11"/>
        <v>242545.38383089995</v>
      </c>
      <c r="Q57">
        <v>1460.1650793650699</v>
      </c>
      <c r="R57">
        <v>37676.483070845999</v>
      </c>
      <c r="S57">
        <v>819.05397980100099</v>
      </c>
      <c r="T57">
        <v>1.7261241678478001</v>
      </c>
      <c r="U57">
        <v>43664.303749434199</v>
      </c>
      <c r="V57">
        <v>357.90412909372202</v>
      </c>
    </row>
    <row r="58" spans="1:22" x14ac:dyDescent="0.4">
      <c r="K58">
        <f>K57+L57+M57-(K51+L51+M51)</f>
        <v>5389.7553551421151</v>
      </c>
    </row>
    <row r="59" spans="1:22" x14ac:dyDescent="0.4">
      <c r="A59" s="1" t="s">
        <v>30</v>
      </c>
      <c r="G59" s="4"/>
    </row>
    <row r="60" spans="1:22" x14ac:dyDescent="0.4">
      <c r="A60" s="2" t="s">
        <v>22</v>
      </c>
      <c r="B60" s="2" t="s">
        <v>25</v>
      </c>
      <c r="C60">
        <v>2</v>
      </c>
      <c r="D60">
        <f>J60+K60+L60+M60+N60-O60</f>
        <v>116477.09498263198</v>
      </c>
      <c r="E60">
        <v>282495</v>
      </c>
      <c r="F60">
        <v>0.83903831831993503</v>
      </c>
      <c r="G60" s="4">
        <v>20221.889710343999</v>
      </c>
      <c r="H60">
        <v>6553.7440767980397</v>
      </c>
      <c r="I60">
        <v>6160.4249909476703</v>
      </c>
      <c r="J60">
        <v>32936.058778089697</v>
      </c>
      <c r="K60">
        <v>50939.5611113743</v>
      </c>
      <c r="L60">
        <v>15427.2204868183</v>
      </c>
      <c r="M60">
        <v>19327.3039306102</v>
      </c>
      <c r="N60">
        <v>1004.9477757237401</v>
      </c>
      <c r="O60">
        <v>3157.9970999842499</v>
      </c>
      <c r="P60">
        <f t="shared" ref="P60:P63" si="12">D60+$P$1</f>
        <v>237036.76680162852</v>
      </c>
      <c r="Q60">
        <v>1464.2687322859999</v>
      </c>
      <c r="R60">
        <v>8672.9882445954008</v>
      </c>
      <c r="S60">
        <v>346.91952978381602</v>
      </c>
      <c r="T60">
        <v>2.4302910949698302</v>
      </c>
    </row>
    <row r="61" spans="1:22" x14ac:dyDescent="0.4">
      <c r="A61" s="3" t="s">
        <v>22</v>
      </c>
      <c r="B61" s="3" t="s">
        <v>25</v>
      </c>
      <c r="C61">
        <v>4</v>
      </c>
      <c r="D61">
        <f>J61+K61+L61+M61+N61-O61</f>
        <v>109562.97527837555</v>
      </c>
      <c r="E61">
        <v>282179.67123287602</v>
      </c>
      <c r="F61">
        <v>0.81689091571482797</v>
      </c>
      <c r="G61" s="4">
        <v>20285.098342207999</v>
      </c>
      <c r="H61">
        <v>6552.6722224723899</v>
      </c>
      <c r="I61">
        <v>6068.9240568166097</v>
      </c>
      <c r="J61">
        <v>32906.694621497001</v>
      </c>
      <c r="K61">
        <v>50843.184005923598</v>
      </c>
      <c r="L61">
        <v>16378.7983857829</v>
      </c>
      <c r="M61">
        <v>19449.350489448301</v>
      </c>
      <c r="N61">
        <v>1004.9477757237401</v>
      </c>
      <c r="O61">
        <f>1102*5*2</f>
        <v>11020</v>
      </c>
      <c r="P61">
        <f t="shared" si="12"/>
        <v>230122.64709737207</v>
      </c>
      <c r="Q61">
        <v>1464.02925348484</v>
      </c>
      <c r="R61">
        <v>26064.489084194902</v>
      </c>
      <c r="S61">
        <v>407.257641940545</v>
      </c>
      <c r="T61">
        <v>1.09609872121186</v>
      </c>
    </row>
    <row r="62" spans="1:22" x14ac:dyDescent="0.4">
      <c r="A62" s="5" t="s">
        <v>22</v>
      </c>
      <c r="B62" s="5" t="s">
        <v>21</v>
      </c>
      <c r="C62">
        <v>4</v>
      </c>
      <c r="D62" s="10">
        <f>J62+K62+L62+M62+N62-O62</f>
        <v>107555.29824632255</v>
      </c>
      <c r="E62">
        <v>282179.67123287602</v>
      </c>
      <c r="F62">
        <v>0.80673743017586796</v>
      </c>
      <c r="G62">
        <v>19617.269555424798</v>
      </c>
      <c r="H62">
        <v>6177.79087142139</v>
      </c>
      <c r="I62" s="8">
        <v>1.4897343661976701E-5</v>
      </c>
      <c r="J62">
        <v>25795.060441743601</v>
      </c>
      <c r="K62">
        <v>50989.945229661498</v>
      </c>
      <c r="L62">
        <v>20356.552509954701</v>
      </c>
      <c r="M62">
        <v>19971.3621100407</v>
      </c>
      <c r="N62">
        <v>1462.3779549220301</v>
      </c>
      <c r="O62">
        <v>11020</v>
      </c>
      <c r="P62">
        <f t="shared" si="12"/>
        <v>228114.97006531907</v>
      </c>
      <c r="Q62">
        <v>1380.27146414547</v>
      </c>
      <c r="R62">
        <v>33980.634383525299</v>
      </c>
      <c r="S62">
        <v>943.906510653483</v>
      </c>
      <c r="T62">
        <v>0.36911323114551098</v>
      </c>
      <c r="U62">
        <v>36719.7300995962</v>
      </c>
      <c r="V62">
        <v>278.17977348178903</v>
      </c>
    </row>
    <row r="63" spans="1:22" x14ac:dyDescent="0.4">
      <c r="A63" t="s">
        <v>22</v>
      </c>
      <c r="B63" t="s">
        <v>21</v>
      </c>
      <c r="C63">
        <v>4</v>
      </c>
      <c r="D63">
        <f>J63+K63+L63+M63+N63-O63</f>
        <v>108041.95853331135</v>
      </c>
      <c r="E63">
        <v>282179.67123277002</v>
      </c>
      <c r="F63">
        <v>0.80855687769694595</v>
      </c>
      <c r="G63">
        <v>19403.054157778199</v>
      </c>
      <c r="H63">
        <v>5553.2925107720503</v>
      </c>
      <c r="I63">
        <v>4877.88612389215</v>
      </c>
      <c r="J63">
        <v>29834.232792442399</v>
      </c>
      <c r="K63">
        <v>51173.670096007401</v>
      </c>
      <c r="L63">
        <v>17123.646419717399</v>
      </c>
      <c r="M63">
        <v>19494.782086470699</v>
      </c>
      <c r="N63">
        <v>1435.62713867346</v>
      </c>
      <c r="O63">
        <v>11020</v>
      </c>
      <c r="P63">
        <f t="shared" si="12"/>
        <v>228601.63035230787</v>
      </c>
      <c r="Q63">
        <v>1240.7430631340701</v>
      </c>
      <c r="R63">
        <v>17914.482434871101</v>
      </c>
      <c r="S63">
        <v>398.09960966380203</v>
      </c>
      <c r="T63">
        <v>0.67297738075987301</v>
      </c>
      <c r="U63">
        <v>13163.232180323101</v>
      </c>
      <c r="V63">
        <v>107.018147807505</v>
      </c>
    </row>
    <row r="64" spans="1:22" x14ac:dyDescent="0.4">
      <c r="A64" s="27" t="s">
        <v>44</v>
      </c>
      <c r="B64" s="27"/>
      <c r="C64" s="27"/>
      <c r="D64" s="10">
        <f>D63-D62</f>
        <v>486.66028698880109</v>
      </c>
      <c r="E64">
        <f t="shared" ref="E64:V64" si="13">E63-E62</f>
        <v>-1.0599615052342415E-7</v>
      </c>
      <c r="F64">
        <f t="shared" si="13"/>
        <v>1.8194475210779881E-3</v>
      </c>
      <c r="G64">
        <f t="shared" si="13"/>
        <v>-214.21539764659974</v>
      </c>
      <c r="H64">
        <f t="shared" si="13"/>
        <v>-624.4983606493397</v>
      </c>
      <c r="I64">
        <f t="shared" si="13"/>
        <v>4877.8861089948059</v>
      </c>
      <c r="J64">
        <f t="shared" si="13"/>
        <v>4039.1723506987983</v>
      </c>
      <c r="K64">
        <f t="shared" si="13"/>
        <v>183.72486634590314</v>
      </c>
      <c r="L64">
        <f t="shared" si="13"/>
        <v>-3232.9060902373021</v>
      </c>
      <c r="M64">
        <f t="shared" si="13"/>
        <v>-476.58002357000078</v>
      </c>
      <c r="N64">
        <f t="shared" si="13"/>
        <v>-26.750816248570118</v>
      </c>
      <c r="O64">
        <f t="shared" si="13"/>
        <v>0</v>
      </c>
      <c r="P64">
        <f t="shared" si="13"/>
        <v>486.66028698880109</v>
      </c>
      <c r="Q64">
        <f t="shared" si="13"/>
        <v>-139.52840101139986</v>
      </c>
      <c r="R64">
        <f t="shared" si="13"/>
        <v>-16066.151948654198</v>
      </c>
      <c r="S64">
        <f t="shared" si="13"/>
        <v>-545.80690098968103</v>
      </c>
      <c r="T64">
        <f t="shared" si="13"/>
        <v>0.30386414961436203</v>
      </c>
      <c r="U64">
        <f t="shared" si="13"/>
        <v>-23556.497919273097</v>
      </c>
      <c r="V64">
        <f t="shared" si="13"/>
        <v>-171.16162567428404</v>
      </c>
    </row>
    <row r="65" spans="1:22" x14ac:dyDescent="0.4">
      <c r="A65" s="9"/>
      <c r="B65" s="9"/>
      <c r="C65" s="9"/>
      <c r="D65" s="10"/>
    </row>
    <row r="66" spans="1:22" x14ac:dyDescent="0.4">
      <c r="A66" s="27" t="s">
        <v>103</v>
      </c>
      <c r="B66" s="27"/>
      <c r="C66" s="27"/>
      <c r="D66" s="27"/>
    </row>
    <row r="67" spans="1:22" x14ac:dyDescent="0.4">
      <c r="A67" t="s">
        <v>22</v>
      </c>
      <c r="B67" t="s">
        <v>21</v>
      </c>
      <c r="C67">
        <v>4</v>
      </c>
      <c r="D67" s="10">
        <f>J67+K67+L67+M67+N67-O67</f>
        <v>111404.48735261035</v>
      </c>
      <c r="E67">
        <v>282179.67210423102</v>
      </c>
      <c r="F67">
        <v>0.82037834333814497</v>
      </c>
      <c r="G67">
        <v>19838.6932313</v>
      </c>
      <c r="H67">
        <v>6386.10618344667</v>
      </c>
      <c r="I67" s="8">
        <v>9.2973424231475194E-6</v>
      </c>
      <c r="J67">
        <v>26224.799424043998</v>
      </c>
      <c r="K67">
        <v>50899.945350741502</v>
      </c>
      <c r="L67">
        <v>20114.677460726201</v>
      </c>
      <c r="M67">
        <v>19952.6871621766</v>
      </c>
      <c r="N67">
        <v>1462.3779549220301</v>
      </c>
      <c r="O67">
        <v>7250</v>
      </c>
      <c r="P67">
        <f t="shared" ref="P67" si="14">D67+$P$1</f>
        <v>231964.15917160688</v>
      </c>
      <c r="Q67">
        <v>1426.8142686552001</v>
      </c>
      <c r="R67">
        <v>20405.960832041099</v>
      </c>
      <c r="S67">
        <v>566.83224533447503</v>
      </c>
      <c r="T67">
        <v>0.42602809634619399</v>
      </c>
      <c r="U67">
        <v>88484.431706385905</v>
      </c>
      <c r="V67">
        <v>670.33660383625704</v>
      </c>
    </row>
    <row r="68" spans="1:22" x14ac:dyDescent="0.4">
      <c r="A68" s="9"/>
      <c r="B68" s="9"/>
      <c r="C68" s="9"/>
      <c r="D68" s="13"/>
    </row>
    <row r="69" spans="1:22" x14ac:dyDescent="0.4">
      <c r="A69" s="27" t="s">
        <v>60</v>
      </c>
      <c r="B69" s="27"/>
      <c r="C69" s="27"/>
      <c r="D69" s="10"/>
    </row>
    <row r="70" spans="1:22" x14ac:dyDescent="0.4">
      <c r="A70" s="5" t="s">
        <v>22</v>
      </c>
      <c r="B70" s="5" t="s">
        <v>21</v>
      </c>
      <c r="C70">
        <v>4</v>
      </c>
      <c r="D70">
        <f>J70+K70+L70+M70+N70-O70</f>
        <v>107688.42172332953</v>
      </c>
      <c r="E70">
        <v>282179.67123287602</v>
      </c>
      <c r="F70">
        <v>0.80720919866445495</v>
      </c>
      <c r="G70" s="10">
        <v>19953.454987134999</v>
      </c>
      <c r="H70" s="10">
        <v>6500.5540138059996</v>
      </c>
      <c r="I70" s="10">
        <v>1.4041882744936899E-5</v>
      </c>
      <c r="J70" s="10">
        <v>26454.009014982901</v>
      </c>
      <c r="K70" s="10">
        <v>50854.945205479497</v>
      </c>
      <c r="L70" s="10">
        <v>19993.739942922399</v>
      </c>
      <c r="M70" s="10">
        <v>19943.3496050227</v>
      </c>
      <c r="N70" s="10">
        <v>1462.3779549220301</v>
      </c>
      <c r="O70">
        <v>11020</v>
      </c>
      <c r="P70">
        <f t="shared" ref="P70" si="15">D70+$P$1</f>
        <v>228248.09354232607</v>
      </c>
      <c r="Q70">
        <v>1452.3847453508599</v>
      </c>
      <c r="R70">
        <v>38020.577577602002</v>
      </c>
      <c r="S70">
        <v>884.19947854888403</v>
      </c>
      <c r="T70">
        <v>0.32639110364227297</v>
      </c>
      <c r="U70">
        <v>43796.182548819299</v>
      </c>
      <c r="V70">
        <v>350.36946039055402</v>
      </c>
    </row>
    <row r="71" spans="1:22" x14ac:dyDescent="0.4">
      <c r="A71" s="27" t="s">
        <v>61</v>
      </c>
      <c r="B71" s="27"/>
      <c r="C71" s="9"/>
      <c r="D71" s="10">
        <f>D70-D62</f>
        <v>133.12347700698592</v>
      </c>
      <c r="E71" s="10">
        <f t="shared" ref="E71:P71" si="16">E70-E62</f>
        <v>0</v>
      </c>
      <c r="F71" s="10">
        <f t="shared" si="16"/>
        <v>4.7176848858698772E-4</v>
      </c>
      <c r="G71" s="10">
        <f t="shared" si="16"/>
        <v>336.18543171020065</v>
      </c>
      <c r="H71" s="10">
        <f t="shared" si="16"/>
        <v>322.76314238460964</v>
      </c>
      <c r="I71" s="10">
        <f t="shared" si="16"/>
        <v>-8.5546091703980134E-7</v>
      </c>
      <c r="J71" s="10">
        <f t="shared" si="16"/>
        <v>658.94857323930046</v>
      </c>
      <c r="K71" s="10">
        <f t="shared" si="16"/>
        <v>-135.00002418200165</v>
      </c>
      <c r="L71" s="10">
        <f t="shared" si="16"/>
        <v>-362.81256703230247</v>
      </c>
      <c r="M71" s="10">
        <f t="shared" si="16"/>
        <v>-28.012505017999501</v>
      </c>
      <c r="N71" s="10">
        <f t="shared" si="16"/>
        <v>0</v>
      </c>
      <c r="O71" s="10">
        <f t="shared" si="16"/>
        <v>0</v>
      </c>
      <c r="P71" s="10">
        <f t="shared" si="16"/>
        <v>133.12347700700047</v>
      </c>
    </row>
    <row r="72" spans="1:22" x14ac:dyDescent="0.4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>
        <f>K70+L70+M70-K5</f>
        <v>5347.5218722698046</v>
      </c>
      <c r="L72" s="10"/>
      <c r="M72" s="10"/>
      <c r="N72" s="10"/>
      <c r="O72" s="10"/>
      <c r="P72" s="10"/>
    </row>
    <row r="73" spans="1:22" x14ac:dyDescent="0.4">
      <c r="A73" s="1" t="s">
        <v>42</v>
      </c>
      <c r="G73" s="4"/>
    </row>
    <row r="74" spans="1:22" x14ac:dyDescent="0.4">
      <c r="A74" s="3" t="s">
        <v>20</v>
      </c>
      <c r="B74" s="3" t="s">
        <v>23</v>
      </c>
      <c r="C74" s="3">
        <v>0</v>
      </c>
      <c r="G74" s="4"/>
    </row>
    <row r="75" spans="1:22" x14ac:dyDescent="0.4">
      <c r="A75" t="s">
        <v>22</v>
      </c>
      <c r="B75" t="s">
        <v>23</v>
      </c>
      <c r="C75">
        <v>0</v>
      </c>
      <c r="D75">
        <f>J75+K75+L75+M75+N75-O75</f>
        <v>125093.23428318274</v>
      </c>
      <c r="E75">
        <v>282190.859999999</v>
      </c>
      <c r="F75">
        <v>0.86904083066499505</v>
      </c>
      <c r="G75" s="10">
        <v>24203.497764766002</v>
      </c>
      <c r="H75" s="10">
        <v>4932.7238161263904</v>
      </c>
      <c r="I75" s="10">
        <v>9098.5748223234004</v>
      </c>
      <c r="J75" s="10">
        <v>38234.796403215798</v>
      </c>
      <c r="K75" s="10">
        <v>50845.200000000099</v>
      </c>
      <c r="L75" s="10">
        <v>15304.405199999899</v>
      </c>
      <c r="M75" s="10">
        <v>19298.29566</v>
      </c>
      <c r="N75" s="10">
        <v>1409.83742959549</v>
      </c>
      <c r="O75">
        <v>-0.69959037146548997</v>
      </c>
      <c r="P75">
        <f>D75+$P$1</f>
        <v>245652.90610217926</v>
      </c>
      <c r="Q75">
        <v>1102.0926609763501</v>
      </c>
      <c r="R75">
        <v>0</v>
      </c>
      <c r="U75">
        <v>15.5670440273115</v>
      </c>
      <c r="V75">
        <v>9.2660976353045002E-2</v>
      </c>
    </row>
    <row r="76" spans="1:22" x14ac:dyDescent="0.4">
      <c r="A76" s="3"/>
      <c r="B76" s="3"/>
      <c r="C76" s="3"/>
      <c r="G76" s="4"/>
    </row>
    <row r="77" spans="1:22" x14ac:dyDescent="0.4">
      <c r="A77" s="3" t="s">
        <v>20</v>
      </c>
      <c r="B77" s="3" t="s">
        <v>21</v>
      </c>
      <c r="C77" s="3">
        <v>4</v>
      </c>
      <c r="G77" s="4"/>
    </row>
    <row r="78" spans="1:22" x14ac:dyDescent="0.4">
      <c r="A78" t="s">
        <v>22</v>
      </c>
      <c r="B78" t="s">
        <v>21</v>
      </c>
      <c r="C78">
        <v>4</v>
      </c>
      <c r="D78">
        <f>J78+K78+L78+M78+N78-O78</f>
        <v>110388.32172332953</v>
      </c>
      <c r="E78">
        <v>282179.67123287602</v>
      </c>
      <c r="F78">
        <v>0.80720919866445495</v>
      </c>
      <c r="G78" s="10">
        <v>19953.454987134999</v>
      </c>
      <c r="H78" s="10">
        <v>6500.5540138059996</v>
      </c>
      <c r="I78" s="10">
        <v>1.4041882744936899E-5</v>
      </c>
      <c r="J78" s="10">
        <v>26454.009014982901</v>
      </c>
      <c r="K78" s="10">
        <v>50854.945205479497</v>
      </c>
      <c r="L78" s="10">
        <v>19993.739942922399</v>
      </c>
      <c r="M78" s="10">
        <v>19943.3496050227</v>
      </c>
      <c r="N78" s="10">
        <v>1462.3779549220301</v>
      </c>
      <c r="O78">
        <v>8320.1</v>
      </c>
      <c r="P78">
        <v>230384.72273471201</v>
      </c>
      <c r="Q78">
        <v>1403.49453592792</v>
      </c>
      <c r="R78">
        <v>34518.506961381201</v>
      </c>
      <c r="S78">
        <v>841.91480393612801</v>
      </c>
      <c r="T78">
        <v>0.38784649209264499</v>
      </c>
      <c r="U78">
        <v>38264.627438579002</v>
      </c>
      <c r="V78">
        <v>301.29627904392902</v>
      </c>
    </row>
    <row r="79" spans="1:22" x14ac:dyDescent="0.4">
      <c r="A79" s="5"/>
      <c r="B79" s="5"/>
      <c r="D79">
        <f>D78-D75</f>
        <v>-14704.912559853212</v>
      </c>
      <c r="E79">
        <f t="shared" ref="E79:V79" si="17">E78-E75</f>
        <v>-11.188767122977879</v>
      </c>
      <c r="F79">
        <f t="shared" si="17"/>
        <v>-6.1831632000540093E-2</v>
      </c>
      <c r="G79">
        <f t="shared" si="17"/>
        <v>-4250.0427776310025</v>
      </c>
      <c r="H79">
        <f t="shared" si="17"/>
        <v>1567.8301976796092</v>
      </c>
      <c r="I79">
        <f t="shared" si="17"/>
        <v>-9098.5748082815171</v>
      </c>
      <c r="J79">
        <f t="shared" si="17"/>
        <v>-11780.787388232897</v>
      </c>
      <c r="K79">
        <f t="shared" si="17"/>
        <v>9.7452054793975549</v>
      </c>
      <c r="L79">
        <f t="shared" si="17"/>
        <v>4689.3347429224996</v>
      </c>
      <c r="M79">
        <f t="shared" si="17"/>
        <v>645.05394502270065</v>
      </c>
      <c r="N79">
        <f t="shared" si="17"/>
        <v>52.540525326540092</v>
      </c>
      <c r="O79">
        <f t="shared" si="17"/>
        <v>8320.7995903714655</v>
      </c>
      <c r="P79">
        <f t="shared" si="17"/>
        <v>-15268.183367467253</v>
      </c>
      <c r="Q79">
        <f t="shared" si="17"/>
        <v>301.40187495156988</v>
      </c>
      <c r="R79">
        <f t="shared" si="17"/>
        <v>34518.506961381201</v>
      </c>
      <c r="S79">
        <f t="shared" si="17"/>
        <v>841.91480393612801</v>
      </c>
      <c r="T79">
        <f t="shared" si="17"/>
        <v>0.38784649209264499</v>
      </c>
      <c r="U79">
        <f t="shared" si="17"/>
        <v>38249.060394551692</v>
      </c>
      <c r="V79">
        <f t="shared" si="17"/>
        <v>301.20361806757597</v>
      </c>
    </row>
    <row r="80" spans="1:22" x14ac:dyDescent="0.4">
      <c r="A80" s="1" t="s">
        <v>31</v>
      </c>
    </row>
    <row r="81" spans="1:22" x14ac:dyDescent="0.4">
      <c r="A81" s="2" t="s">
        <v>20</v>
      </c>
      <c r="B81" s="2" t="s">
        <v>23</v>
      </c>
      <c r="C81">
        <v>0</v>
      </c>
      <c r="D81">
        <f>J81+K81+L81+M81+N81</f>
        <v>116023.2890300647</v>
      </c>
      <c r="E81">
        <v>282179.67123287602</v>
      </c>
      <c r="F81">
        <v>0.83841249022441</v>
      </c>
      <c r="G81">
        <v>20114.092712805999</v>
      </c>
      <c r="H81">
        <v>6942.2846600808298</v>
      </c>
      <c r="I81">
        <v>2530.0880681377598</v>
      </c>
      <c r="J81">
        <v>29586.4654410246</v>
      </c>
      <c r="K81">
        <v>50843.184005923598</v>
      </c>
      <c r="L81">
        <v>15303.798385783</v>
      </c>
      <c r="M81">
        <v>19297.5304894482</v>
      </c>
      <c r="N81">
        <v>992.31070788530405</v>
      </c>
      <c r="O81">
        <v>0</v>
      </c>
      <c r="P81">
        <f t="shared" ref="P81:P82" si="18">D81+$P$1</f>
        <v>236582.9608490612</v>
      </c>
      <c r="Q81">
        <v>1101.8347602124099</v>
      </c>
      <c r="R81">
        <v>0</v>
      </c>
      <c r="S81">
        <v>0</v>
      </c>
      <c r="T81">
        <v>0</v>
      </c>
    </row>
    <row r="82" spans="1:22" x14ac:dyDescent="0.4">
      <c r="A82" s="5" t="s">
        <v>22</v>
      </c>
      <c r="B82" s="5" t="s">
        <v>23</v>
      </c>
      <c r="C82">
        <v>0</v>
      </c>
      <c r="D82">
        <f>J82+K82+L82+M82+N82</f>
        <v>124337.62912011228</v>
      </c>
      <c r="E82">
        <v>282190.859999999</v>
      </c>
      <c r="F82">
        <v>0.86636319198077105</v>
      </c>
      <c r="G82">
        <v>22795.571059233</v>
      </c>
      <c r="H82">
        <v>5233.0127982051599</v>
      </c>
      <c r="I82">
        <v>9451.3069638763409</v>
      </c>
      <c r="J82">
        <v>37479.890821314497</v>
      </c>
      <c r="K82">
        <v>50845.200002362697</v>
      </c>
      <c r="L82">
        <v>15304.4052063494</v>
      </c>
      <c r="M82">
        <v>19298.295660490199</v>
      </c>
      <c r="N82">
        <v>1409.83742959549</v>
      </c>
      <c r="O82">
        <v>0</v>
      </c>
      <c r="P82">
        <f t="shared" si="18"/>
        <v>244897.3009391088</v>
      </c>
      <c r="Q82">
        <v>1127.3472943468801</v>
      </c>
      <c r="R82">
        <v>0</v>
      </c>
      <c r="S82">
        <v>0</v>
      </c>
      <c r="T82">
        <v>0</v>
      </c>
    </row>
    <row r="83" spans="1:22" x14ac:dyDescent="0.4">
      <c r="A83" s="26"/>
      <c r="B83" s="2"/>
    </row>
    <row r="84" spans="1:22" x14ac:dyDescent="0.4">
      <c r="A84" s="2" t="s">
        <v>20</v>
      </c>
      <c r="B84" s="2" t="s">
        <v>21</v>
      </c>
      <c r="C84">
        <v>2</v>
      </c>
      <c r="D84">
        <f>J84+K84+L84+M84+N84</f>
        <v>116706.4157905087</v>
      </c>
      <c r="E84">
        <v>282179.67125387199</v>
      </c>
      <c r="F84">
        <v>0.840833383054163</v>
      </c>
      <c r="G84" s="4">
        <v>20578.507216446698</v>
      </c>
      <c r="H84">
        <v>7102.57515066207</v>
      </c>
      <c r="I84">
        <v>2588.5052959285099</v>
      </c>
      <c r="J84">
        <v>30269.587663037299</v>
      </c>
      <c r="K84">
        <v>50843.185173268597</v>
      </c>
      <c r="L84">
        <v>15303.8015139941</v>
      </c>
      <c r="M84">
        <v>19297.530732323401</v>
      </c>
      <c r="N84">
        <v>992.31070788530405</v>
      </c>
      <c r="O84">
        <v>0</v>
      </c>
      <c r="P84">
        <f t="shared" ref="P84:P85" si="19">D84+$P$1</f>
        <v>237266.08760950522</v>
      </c>
      <c r="Q84">
        <v>1127.2750356983099</v>
      </c>
      <c r="R84">
        <v>0</v>
      </c>
    </row>
    <row r="85" spans="1:22" x14ac:dyDescent="0.4">
      <c r="A85" s="2" t="s">
        <v>22</v>
      </c>
      <c r="B85" s="2" t="s">
        <v>21</v>
      </c>
      <c r="C85">
        <v>2</v>
      </c>
      <c r="D85">
        <f>J85+K85+L85+M85+N85</f>
        <v>121633.35860365373</v>
      </c>
      <c r="E85">
        <v>282179.67123287602</v>
      </c>
      <c r="F85">
        <v>0.85824890324911396</v>
      </c>
      <c r="G85" s="4">
        <v>20824.7129679639</v>
      </c>
      <c r="H85">
        <v>7456.39074483072</v>
      </c>
      <c r="I85">
        <v>5114.4587365303096</v>
      </c>
      <c r="J85">
        <v>33395.562449324898</v>
      </c>
      <c r="K85">
        <v>51302.320205525801</v>
      </c>
      <c r="L85">
        <v>16537.7269222135</v>
      </c>
      <c r="M85">
        <v>19392.801250865799</v>
      </c>
      <c r="N85">
        <v>1004.9477757237401</v>
      </c>
      <c r="O85">
        <v>0</v>
      </c>
      <c r="P85">
        <f t="shared" si="19"/>
        <v>242193.03042265025</v>
      </c>
      <c r="Q85">
        <v>1183.4303612998101</v>
      </c>
      <c r="R85">
        <v>15931.1957490451</v>
      </c>
      <c r="S85">
        <v>346.33034237054602</v>
      </c>
      <c r="T85">
        <v>1.0959871186973</v>
      </c>
    </row>
    <row r="86" spans="1:22" x14ac:dyDescent="0.4">
      <c r="A86" s="2"/>
      <c r="B86" s="2"/>
    </row>
    <row r="87" spans="1:22" x14ac:dyDescent="0.4">
      <c r="A87" s="2" t="s">
        <v>20</v>
      </c>
      <c r="B87" s="2" t="s">
        <v>21</v>
      </c>
      <c r="C87">
        <v>4</v>
      </c>
      <c r="D87">
        <f>J87+K87+L87+M87+N87</f>
        <v>116706.4157905051</v>
      </c>
      <c r="E87">
        <v>282179.671253876</v>
      </c>
      <c r="F87">
        <v>0.84083338305413902</v>
      </c>
      <c r="G87" s="4">
        <v>20578.5072164468</v>
      </c>
      <c r="H87">
        <v>7102.5751506616798</v>
      </c>
      <c r="I87">
        <v>2588.50529592865</v>
      </c>
      <c r="J87">
        <v>30269.587663037099</v>
      </c>
      <c r="K87">
        <v>50843.185173268197</v>
      </c>
      <c r="L87">
        <v>15303.8015139912</v>
      </c>
      <c r="M87">
        <v>19297.530732323299</v>
      </c>
      <c r="N87">
        <v>992.31070788530405</v>
      </c>
      <c r="O87">
        <v>0</v>
      </c>
      <c r="P87">
        <f t="shared" ref="P87:P91" si="20">D87+$P$1</f>
        <v>237266.08760950161</v>
      </c>
      <c r="Q87">
        <v>1127.2750356983499</v>
      </c>
      <c r="R87">
        <v>0</v>
      </c>
    </row>
    <row r="88" spans="1:22" x14ac:dyDescent="0.4">
      <c r="A88" s="5" t="s">
        <v>22</v>
      </c>
      <c r="B88" s="5" t="s">
        <v>21</v>
      </c>
      <c r="C88">
        <v>4</v>
      </c>
      <c r="D88">
        <f>J88+K88+L88+M88+N88</f>
        <v>119679.31713838593</v>
      </c>
      <c r="E88">
        <v>282179.67123287602</v>
      </c>
      <c r="F88">
        <v>0.84981637630953</v>
      </c>
      <c r="G88">
        <v>21259.596722088401</v>
      </c>
      <c r="H88">
        <v>5421.7142614628301</v>
      </c>
      <c r="I88">
        <v>4952.1226155222203</v>
      </c>
      <c r="J88">
        <v>31633.433599073502</v>
      </c>
      <c r="K88">
        <v>51143.819864261903</v>
      </c>
      <c r="L88">
        <v>16111.757255067099</v>
      </c>
      <c r="M88">
        <v>19359.912430053599</v>
      </c>
      <c r="N88">
        <v>1430.39398992981</v>
      </c>
      <c r="O88">
        <v>0</v>
      </c>
      <c r="P88">
        <f t="shared" si="20"/>
        <v>240238.98895738245</v>
      </c>
      <c r="Q88">
        <v>1167.9992270377099</v>
      </c>
      <c r="R88">
        <v>12796.980451596301</v>
      </c>
      <c r="S88">
        <v>511.87921806385202</v>
      </c>
      <c r="T88">
        <v>3.2717316651185699E-2</v>
      </c>
      <c r="U88">
        <v>9062.6004208208706</v>
      </c>
      <c r="V88">
        <v>63.374828117628397</v>
      </c>
    </row>
    <row r="89" spans="1:22" x14ac:dyDescent="0.4">
      <c r="K89">
        <f>K88+L88+M88-(K82+L82+M82)</f>
        <v>1167.588680180299</v>
      </c>
      <c r="P89">
        <f t="shared" si="20"/>
        <v>120559.67181899652</v>
      </c>
    </row>
    <row r="90" spans="1:22" x14ac:dyDescent="0.4">
      <c r="A90" s="1" t="s">
        <v>34</v>
      </c>
      <c r="G90" s="4"/>
    </row>
    <row r="91" spans="1:22" x14ac:dyDescent="0.4">
      <c r="A91" t="s">
        <v>22</v>
      </c>
      <c r="B91" t="s">
        <v>21</v>
      </c>
      <c r="C91">
        <v>4</v>
      </c>
      <c r="D91">
        <f>J91+K91+L91+M91+N91</f>
        <v>147118.48206815872</v>
      </c>
      <c r="E91">
        <v>355610.364944759</v>
      </c>
      <c r="F91">
        <v>0.75267772890587503</v>
      </c>
      <c r="G91">
        <v>25765.651662743599</v>
      </c>
      <c r="H91">
        <v>7150.9042815892099</v>
      </c>
      <c r="I91">
        <v>5144.3184852884797</v>
      </c>
      <c r="J91">
        <v>38060.874429621297</v>
      </c>
      <c r="K91">
        <v>64168.339029134899</v>
      </c>
      <c r="L91">
        <v>19539.954214541001</v>
      </c>
      <c r="M91">
        <v>24338.851661831999</v>
      </c>
      <c r="N91">
        <v>1010.46273302954</v>
      </c>
      <c r="O91">
        <v>0</v>
      </c>
      <c r="P91">
        <f t="shared" si="20"/>
        <v>267678.15388715523</v>
      </c>
      <c r="Q91">
        <v>1597.68911089628</v>
      </c>
      <c r="R91">
        <v>13084.0423994256</v>
      </c>
      <c r="S91">
        <v>467.28722855091399</v>
      </c>
      <c r="T91">
        <v>-0.25904927491985202</v>
      </c>
    </row>
    <row r="92" spans="1:22" x14ac:dyDescent="0.4">
      <c r="A92" t="s">
        <v>22</v>
      </c>
      <c r="B92" t="s">
        <v>35</v>
      </c>
      <c r="C92" t="s">
        <v>35</v>
      </c>
      <c r="D92" t="s">
        <v>36</v>
      </c>
      <c r="E92" t="s">
        <v>36</v>
      </c>
      <c r="F92" t="s">
        <v>36</v>
      </c>
      <c r="G92" s="4">
        <v>28838</v>
      </c>
      <c r="H92">
        <v>7567.5</v>
      </c>
      <c r="I92">
        <v>13764.1</v>
      </c>
      <c r="J92">
        <v>50169.7</v>
      </c>
      <c r="K92" t="s">
        <v>64</v>
      </c>
      <c r="L92" t="s">
        <v>64</v>
      </c>
      <c r="M92" t="s">
        <v>64</v>
      </c>
      <c r="N92" t="s">
        <v>36</v>
      </c>
    </row>
    <row r="93" spans="1:22" hidden="1" x14ac:dyDescent="0.4"/>
    <row r="94" spans="1:22" hidden="1" x14ac:dyDescent="0.4">
      <c r="A94" s="1" t="s">
        <v>26</v>
      </c>
      <c r="G94" s="4"/>
      <c r="P94" t="s">
        <v>15</v>
      </c>
      <c r="Q94" t="s">
        <v>16</v>
      </c>
      <c r="R94" t="s">
        <v>17</v>
      </c>
      <c r="S94" t="s">
        <v>18</v>
      </c>
      <c r="T94" t="s">
        <v>19</v>
      </c>
    </row>
    <row r="95" spans="1:22" hidden="1" x14ac:dyDescent="0.4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4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>
        <v>63734.6679</v>
      </c>
      <c r="Q95">
        <v>1078.4492829999999</v>
      </c>
      <c r="R95">
        <v>624.70352849999995</v>
      </c>
      <c r="S95">
        <v>13.014656840000001</v>
      </c>
      <c r="T95">
        <v>27.514184579999998</v>
      </c>
    </row>
    <row r="96" spans="1:22" x14ac:dyDescent="0.4">
      <c r="G96" s="4"/>
      <c r="J96">
        <f>J91/D91</f>
        <v>0.2587089935579136</v>
      </c>
    </row>
    <row r="97" spans="1:22" x14ac:dyDescent="0.4">
      <c r="A97" t="s">
        <v>20</v>
      </c>
      <c r="B97" t="s">
        <v>21</v>
      </c>
      <c r="C97">
        <v>4</v>
      </c>
      <c r="D97">
        <f>J97+K97+L97+M97+N97</f>
        <v>121563.11893886774</v>
      </c>
      <c r="E97">
        <v>306531.77686027403</v>
      </c>
      <c r="F97">
        <v>0.78839751879627895</v>
      </c>
      <c r="G97">
        <v>19075.241421310599</v>
      </c>
      <c r="H97">
        <v>6261.96818995999</v>
      </c>
      <c r="I97">
        <v>1707.4548259942601</v>
      </c>
      <c r="J97">
        <v>27044.664437264801</v>
      </c>
      <c r="K97">
        <v>55296.129476701703</v>
      </c>
      <c r="L97">
        <v>16799.683918922601</v>
      </c>
      <c r="M97">
        <v>20976.431949083999</v>
      </c>
      <c r="N97">
        <v>1446.20915689464</v>
      </c>
      <c r="O97">
        <v>0</v>
      </c>
      <c r="P97">
        <f t="shared" ref="P97" si="21">D97+$P$1</f>
        <v>242122.79075786425</v>
      </c>
      <c r="Q97">
        <v>1421.8975872168901</v>
      </c>
      <c r="R97">
        <v>16926.965777071098</v>
      </c>
      <c r="S97">
        <v>248.92596730986901</v>
      </c>
      <c r="T97">
        <v>-0.61547468554465901</v>
      </c>
      <c r="U97">
        <v>31937.310450388199</v>
      </c>
      <c r="V97">
        <v>319.37310450388202</v>
      </c>
    </row>
    <row r="98" spans="1:22" x14ac:dyDescent="0.4">
      <c r="A98" s="3" t="s">
        <v>20</v>
      </c>
      <c r="B98" t="s">
        <v>35</v>
      </c>
      <c r="C98" t="s">
        <v>35</v>
      </c>
      <c r="D98" t="s">
        <v>36</v>
      </c>
      <c r="E98" t="s">
        <v>36</v>
      </c>
      <c r="F98" t="s">
        <v>36</v>
      </c>
      <c r="G98" s="10">
        <v>21558</v>
      </c>
      <c r="H98">
        <v>7337</v>
      </c>
      <c r="I98">
        <v>3883</v>
      </c>
      <c r="J98" s="10">
        <f>G98+H98+I98</f>
        <v>32778</v>
      </c>
      <c r="K98" t="s">
        <v>64</v>
      </c>
      <c r="L98" t="s">
        <v>64</v>
      </c>
      <c r="M98" t="s">
        <v>64</v>
      </c>
      <c r="N98" t="s">
        <v>36</v>
      </c>
    </row>
    <row r="99" spans="1:22" x14ac:dyDescent="0.4">
      <c r="A99" s="2"/>
      <c r="G99" s="4"/>
    </row>
    <row r="101" spans="1:22" x14ac:dyDescent="0.4">
      <c r="A101" s="1" t="s">
        <v>63</v>
      </c>
    </row>
    <row r="102" spans="1:22" x14ac:dyDescent="0.4">
      <c r="A102" t="s">
        <v>22</v>
      </c>
      <c r="B102" t="s">
        <v>23</v>
      </c>
      <c r="C102">
        <v>0</v>
      </c>
      <c r="D102">
        <f>J102+K102+L102+M102+N102</f>
        <v>144641.57326653044</v>
      </c>
      <c r="E102">
        <v>282179.67123287602</v>
      </c>
      <c r="F102">
        <v>0.85636894399557495</v>
      </c>
      <c r="G102">
        <v>20627.43117349</v>
      </c>
      <c r="H102">
        <v>4930.8542128783001</v>
      </c>
      <c r="I102">
        <v>9095.1262763121395</v>
      </c>
      <c r="J102">
        <v>34653.411662680403</v>
      </c>
      <c r="K102">
        <v>50843.184005923598</v>
      </c>
      <c r="L102">
        <f>L4*(1.08/0.43)</f>
        <v>38437.447108478234</v>
      </c>
      <c r="M102">
        <v>19297.5304894482</v>
      </c>
      <c r="N102">
        <v>1410</v>
      </c>
      <c r="O102">
        <v>0</v>
      </c>
      <c r="P102">
        <f t="shared" ref="P102" si="22">D102+$P$1</f>
        <v>265201.24508552696</v>
      </c>
    </row>
    <row r="103" spans="1:22" x14ac:dyDescent="0.4">
      <c r="A103" t="s">
        <v>22</v>
      </c>
      <c r="B103" t="s">
        <v>21</v>
      </c>
      <c r="C103">
        <v>4</v>
      </c>
      <c r="D103">
        <f>J103+K103+L103+M103+N103</f>
        <v>141686.61445013408</v>
      </c>
      <c r="E103">
        <v>282179.70347192901</v>
      </c>
      <c r="F103">
        <v>0.92782505226740197</v>
      </c>
      <c r="G103">
        <v>19831.065688191899</v>
      </c>
      <c r="H103">
        <v>6230.6791730567802</v>
      </c>
      <c r="I103">
        <v>4871.4166947967997</v>
      </c>
      <c r="J103">
        <v>30933.161556045401</v>
      </c>
      <c r="K103">
        <v>50937.4505788346</v>
      </c>
      <c r="L103">
        <v>39073.7116581429</v>
      </c>
      <c r="M103">
        <v>19317.091802737999</v>
      </c>
      <c r="N103">
        <v>1425.19885437316</v>
      </c>
      <c r="O103">
        <v>0</v>
      </c>
      <c r="P103">
        <f t="shared" ref="P103" si="23">D103+$P$1</f>
        <v>262246.28626913059</v>
      </c>
      <c r="Q103">
        <v>1392.0880151674601</v>
      </c>
      <c r="R103">
        <v>14195.8581733913</v>
      </c>
      <c r="S103">
        <v>112.66554105866101</v>
      </c>
      <c r="T103">
        <v>-1.52076853589591</v>
      </c>
      <c r="U103">
        <v>12183.2216733653</v>
      </c>
      <c r="V103">
        <v>290.07670650869801</v>
      </c>
    </row>
    <row r="104" spans="1:22" x14ac:dyDescent="0.4">
      <c r="K104">
        <f>SUM(K102:M102)-SUM(K103:M103)</f>
        <v>-750.09243586547382</v>
      </c>
    </row>
    <row r="105" spans="1:22" x14ac:dyDescent="0.4">
      <c r="A105" t="s">
        <v>22</v>
      </c>
      <c r="B105" t="s">
        <v>23</v>
      </c>
      <c r="C105">
        <v>0</v>
      </c>
      <c r="D105">
        <f>J105+K105+L105+M105+N105</f>
        <v>182723.11808696718</v>
      </c>
      <c r="E105">
        <v>282179.67123287602</v>
      </c>
      <c r="F105">
        <v>0.85636894399557495</v>
      </c>
      <c r="G105">
        <v>20627.43117349</v>
      </c>
      <c r="H105">
        <v>4930.8542128783001</v>
      </c>
      <c r="I105">
        <v>9095.1262763121395</v>
      </c>
      <c r="J105">
        <v>34653.411662680403</v>
      </c>
      <c r="K105">
        <v>50843.184005923598</v>
      </c>
      <c r="L105">
        <f>L4*(2.15/0.43)</f>
        <v>76518.991928914998</v>
      </c>
      <c r="M105">
        <v>19297.5304894482</v>
      </c>
      <c r="N105">
        <v>1410</v>
      </c>
      <c r="P105">
        <f t="shared" ref="P105:P106" si="24">D105+$P$1</f>
        <v>303282.7899059637</v>
      </c>
    </row>
    <row r="106" spans="1:22" x14ac:dyDescent="0.4">
      <c r="A106" t="s">
        <v>22</v>
      </c>
      <c r="B106" t="s">
        <v>21</v>
      </c>
      <c r="C106">
        <v>4</v>
      </c>
      <c r="D106" s="13">
        <f>J106+K106+L106+M106+N106</f>
        <v>180164.72653261331</v>
      </c>
      <c r="E106" s="13">
        <v>282179.67123285698</v>
      </c>
      <c r="F106" s="12">
        <v>1.0641670739695701</v>
      </c>
      <c r="G106" s="13">
        <v>19863.1783561796</v>
      </c>
      <c r="H106" s="13">
        <v>6506.5697069746102</v>
      </c>
      <c r="I106" s="13">
        <v>4873.61028676154</v>
      </c>
      <c r="J106" s="13">
        <v>31243.358349915699</v>
      </c>
      <c r="K106" s="13">
        <v>50899.9452054371</v>
      </c>
      <c r="L106" s="13">
        <v>77281.720548983998</v>
      </c>
      <c r="M106" s="13">
        <v>19309.308438346699</v>
      </c>
      <c r="N106" s="13">
        <v>1430.39398992981</v>
      </c>
      <c r="O106">
        <v>0</v>
      </c>
      <c r="P106">
        <f t="shared" si="24"/>
        <v>300724.39835160982</v>
      </c>
      <c r="Q106" s="4">
        <v>1453.7288077599201</v>
      </c>
      <c r="R106">
        <v>14136.371585592</v>
      </c>
      <c r="S106" s="4">
        <v>107.91123347780101</v>
      </c>
      <c r="T106" s="12">
        <v>-4.2490908058638102</v>
      </c>
      <c r="U106">
        <v>13013.5923280234</v>
      </c>
      <c r="V106" s="4">
        <v>351.71871156820202</v>
      </c>
    </row>
    <row r="107" spans="1:22" x14ac:dyDescent="0.4">
      <c r="K107" s="13">
        <f>SUM(K105:M105)-SUM(K106:M106)</f>
        <v>-831.26776848098962</v>
      </c>
    </row>
    <row r="108" spans="1:22" x14ac:dyDescent="0.4">
      <c r="A108" s="1" t="s">
        <v>65</v>
      </c>
      <c r="K108" s="13"/>
    </row>
    <row r="109" spans="1:22" x14ac:dyDescent="0.4">
      <c r="A109" t="s">
        <v>22</v>
      </c>
      <c r="B109" t="s">
        <v>23</v>
      </c>
      <c r="C109">
        <v>4</v>
      </c>
      <c r="D109" s="13">
        <f>J109+K109+L109+M109+N109</f>
        <v>119726.39965297376</v>
      </c>
      <c r="E109">
        <v>282179.83224964398</v>
      </c>
      <c r="F109">
        <v>0.84996419881982699</v>
      </c>
      <c r="G109">
        <v>20303.288104589901</v>
      </c>
      <c r="H109">
        <v>6543.2205338351096</v>
      </c>
      <c r="I109">
        <v>5999.24631325068</v>
      </c>
      <c r="J109" s="10">
        <v>32845.754951675699</v>
      </c>
      <c r="K109">
        <v>50843.330071946802</v>
      </c>
      <c r="L109">
        <v>15304.121701009901</v>
      </c>
      <c r="M109">
        <v>19297.5657896679</v>
      </c>
      <c r="N109">
        <v>1435.62713867346</v>
      </c>
      <c r="O109">
        <v>0</v>
      </c>
      <c r="P109">
        <f t="shared" ref="P109:P110" si="25">D109+$P$1</f>
        <v>240286.0714719703</v>
      </c>
      <c r="Q109">
        <v>1461.9175121692599</v>
      </c>
      <c r="R109">
        <v>30796.244401685999</v>
      </c>
      <c r="S109">
        <v>375.56395611812201</v>
      </c>
      <c r="T109">
        <v>1.20664176507714E-2</v>
      </c>
      <c r="U109">
        <v>30890.848067330899</v>
      </c>
      <c r="V109">
        <v>359.195907759661</v>
      </c>
    </row>
    <row r="110" spans="1:22" x14ac:dyDescent="0.4">
      <c r="A110" t="s">
        <v>22</v>
      </c>
      <c r="B110" t="s">
        <v>21</v>
      </c>
      <c r="C110">
        <v>4</v>
      </c>
      <c r="D110" s="13">
        <f>J110+K110+L110+M110+N110</f>
        <v>118661.22865756074</v>
      </c>
      <c r="E110">
        <v>282195.464864693</v>
      </c>
      <c r="F110">
        <v>0.84615181718922305</v>
      </c>
      <c r="G110">
        <v>20110.907995096401</v>
      </c>
      <c r="H110">
        <v>6540.2066794450602</v>
      </c>
      <c r="I110">
        <v>4890.2435679090904</v>
      </c>
      <c r="J110" s="10">
        <v>31541.358242450598</v>
      </c>
      <c r="K110">
        <v>50907.023134659299</v>
      </c>
      <c r="L110">
        <v>15468.5747825788</v>
      </c>
      <c r="M110">
        <v>19311.266711247299</v>
      </c>
      <c r="N110">
        <v>1433.00578662475</v>
      </c>
      <c r="O110">
        <v>0</v>
      </c>
      <c r="P110">
        <f t="shared" si="25"/>
        <v>239220.90047655726</v>
      </c>
      <c r="Q110">
        <v>1461.2441424594499</v>
      </c>
      <c r="R110">
        <v>30869.812631599802</v>
      </c>
      <c r="S110">
        <v>411.59750175466399</v>
      </c>
      <c r="T110">
        <v>4.6542923975130698E-2</v>
      </c>
      <c r="U110">
        <v>30784.7301446001</v>
      </c>
      <c r="V110">
        <v>331.01860370537798</v>
      </c>
    </row>
    <row r="111" spans="1:22" x14ac:dyDescent="0.4">
      <c r="D111" s="13">
        <f>D110-D4</f>
        <v>-2846.6958862744505</v>
      </c>
      <c r="E111" s="13">
        <f t="shared" ref="E111:N111" si="26">E110-E4</f>
        <v>15.79363181698136</v>
      </c>
      <c r="F111" s="13">
        <f t="shared" si="26"/>
        <v>-1.0217126806351895E-2</v>
      </c>
      <c r="G111" s="13">
        <f t="shared" si="26"/>
        <v>-516.52317839359966</v>
      </c>
      <c r="H111" s="13">
        <f t="shared" si="26"/>
        <v>1609.3524665667601</v>
      </c>
      <c r="I111" s="13">
        <f t="shared" si="26"/>
        <v>-4204.882708403049</v>
      </c>
      <c r="J111" s="13">
        <f t="shared" si="26"/>
        <v>-3112.053420229804</v>
      </c>
      <c r="K111" s="13">
        <f t="shared" si="26"/>
        <v>63.839128735700797</v>
      </c>
      <c r="L111" s="13">
        <f t="shared" si="26"/>
        <v>164.77639679579988</v>
      </c>
      <c r="M111" s="13">
        <f t="shared" si="26"/>
        <v>13.73622179909944</v>
      </c>
      <c r="N111" s="13">
        <f t="shared" si="26"/>
        <v>23.005786624750044</v>
      </c>
    </row>
    <row r="112" spans="1:22" x14ac:dyDescent="0.4">
      <c r="D112" s="13"/>
      <c r="E112" s="13"/>
      <c r="F112" s="13"/>
      <c r="G112" s="13"/>
      <c r="H112" s="13"/>
      <c r="I112" s="13"/>
      <c r="J112" s="13">
        <f>J4</f>
        <v>34653.411662680403</v>
      </c>
      <c r="K112" s="13">
        <f>K111+L111+M111</f>
        <v>242.35174733060012</v>
      </c>
      <c r="L112" s="13"/>
      <c r="M112" s="13"/>
      <c r="N112" s="13"/>
    </row>
    <row r="113" spans="1:22" x14ac:dyDescent="0.4">
      <c r="A113" s="1" t="s">
        <v>66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spans="1:22" x14ac:dyDescent="0.4">
      <c r="A114" t="s">
        <v>22</v>
      </c>
      <c r="B114" t="s">
        <v>21</v>
      </c>
      <c r="C114">
        <v>4</v>
      </c>
      <c r="D114" s="13">
        <f>J114+K114+L114+M114+N114</f>
        <v>113976.01616633293</v>
      </c>
      <c r="E114">
        <v>282179.67123285797</v>
      </c>
      <c r="F114">
        <v>0.82949143613233001</v>
      </c>
      <c r="G114">
        <v>19739.4095985942</v>
      </c>
      <c r="H114">
        <v>6280.2265894411403</v>
      </c>
      <c r="I114">
        <v>0</v>
      </c>
      <c r="J114">
        <v>26019.6361880353</v>
      </c>
      <c r="K114">
        <v>50944.945205466604</v>
      </c>
      <c r="L114">
        <v>15577.281609678699</v>
      </c>
      <c r="M114">
        <v>19971.775208230301</v>
      </c>
      <c r="N114">
        <v>1462.3779549220301</v>
      </c>
      <c r="O114">
        <v>0</v>
      </c>
      <c r="P114">
        <f t="shared" ref="P114" si="27">D114+$P$1</f>
        <v>234535.68798532945</v>
      </c>
      <c r="Q114">
        <v>1403.15815187257</v>
      </c>
      <c r="R114">
        <v>34638.685534293101</v>
      </c>
      <c r="S114">
        <v>865.96713835732805</v>
      </c>
      <c r="T114">
        <v>0.1767383415172</v>
      </c>
      <c r="U114">
        <v>38493.267558113897</v>
      </c>
      <c r="V114">
        <v>300.72865279776499</v>
      </c>
    </row>
    <row r="115" spans="1:22" x14ac:dyDescent="0.4">
      <c r="D115" s="12">
        <f>(D114-D4)</f>
        <v>-7531.9083775022591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spans="1:22" x14ac:dyDescent="0.4"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spans="1:22" x14ac:dyDescent="0.4">
      <c r="A117" s="7" t="s">
        <v>37</v>
      </c>
    </row>
    <row r="118" spans="1:22" x14ac:dyDescent="0.4">
      <c r="A118" t="s">
        <v>32</v>
      </c>
      <c r="B118" t="s">
        <v>33</v>
      </c>
      <c r="C118" t="s">
        <v>2</v>
      </c>
    </row>
    <row r="119" spans="1:22" x14ac:dyDescent="0.4">
      <c r="A119">
        <v>20</v>
      </c>
      <c r="B119">
        <v>60</v>
      </c>
      <c r="C119">
        <v>2</v>
      </c>
      <c r="D119">
        <f t="shared" ref="D119:D125" si="28">J119+K119+L119+M119+N119</f>
        <v>120712.69088313227</v>
      </c>
      <c r="E119">
        <v>282179.67123285501</v>
      </c>
      <c r="F119">
        <v>0.854946898908852</v>
      </c>
      <c r="G119">
        <v>18681.222424938602</v>
      </c>
      <c r="H119">
        <v>5354.6114985546601</v>
      </c>
      <c r="I119">
        <v>8156.08309050551</v>
      </c>
      <c r="J119">
        <v>32191.917013998798</v>
      </c>
      <c r="K119">
        <v>51372.124296964801</v>
      </c>
      <c r="L119">
        <v>16725.325417965501</v>
      </c>
      <c r="M119">
        <v>19407.285599838699</v>
      </c>
      <c r="N119">
        <v>1016.03855436447</v>
      </c>
      <c r="O119">
        <v>0</v>
      </c>
      <c r="P119">
        <f t="shared" ref="P119:P125" si="29">D119+$P$1</f>
        <v>241272.36270212877</v>
      </c>
      <c r="Q119">
        <v>1192.7637589594799</v>
      </c>
      <c r="R119">
        <v>19736.206339365101</v>
      </c>
      <c r="S119">
        <v>481.37088632597801</v>
      </c>
      <c r="T119" s="6">
        <v>0.12591688076390301</v>
      </c>
    </row>
    <row r="120" spans="1:22" x14ac:dyDescent="0.4">
      <c r="A120">
        <v>20</v>
      </c>
      <c r="B120">
        <v>50</v>
      </c>
      <c r="C120">
        <v>2</v>
      </c>
      <c r="D120">
        <f t="shared" si="28"/>
        <v>119392.42354269064</v>
      </c>
      <c r="E120">
        <v>282254.81855225202</v>
      </c>
      <c r="F120">
        <v>0.85006146065890897</v>
      </c>
      <c r="G120">
        <v>19407.840072768398</v>
      </c>
      <c r="H120">
        <v>5891.8301217549197</v>
      </c>
      <c r="I120">
        <v>6659.4942697455399</v>
      </c>
      <c r="J120">
        <v>31959.164464268899</v>
      </c>
      <c r="K120">
        <v>51102.045942938203</v>
      </c>
      <c r="L120">
        <v>15967.176494174801</v>
      </c>
      <c r="M120">
        <v>19353.573908279199</v>
      </c>
      <c r="N120">
        <v>1010.46273302954</v>
      </c>
      <c r="O120">
        <v>0</v>
      </c>
      <c r="P120">
        <f t="shared" si="29"/>
        <v>239952.09536168716</v>
      </c>
      <c r="Q120">
        <v>1312.43161993582</v>
      </c>
      <c r="R120">
        <v>18377.616631847999</v>
      </c>
      <c r="S120">
        <v>459.4404157962</v>
      </c>
      <c r="T120" s="6">
        <v>0.14758705239613301</v>
      </c>
    </row>
    <row r="121" spans="1:22" x14ac:dyDescent="0.4">
      <c r="A121">
        <v>20</v>
      </c>
      <c r="B121">
        <v>40</v>
      </c>
      <c r="C121">
        <v>2</v>
      </c>
      <c r="D121">
        <f t="shared" si="28"/>
        <v>117777.02945340994</v>
      </c>
      <c r="E121">
        <v>282179.67123287299</v>
      </c>
      <c r="F121">
        <v>0.84456314023622803</v>
      </c>
      <c r="G121">
        <v>19298.245593088301</v>
      </c>
      <c r="H121">
        <v>5682.0016560700296</v>
      </c>
      <c r="I121">
        <v>5350.3346939491703</v>
      </c>
      <c r="J121">
        <v>30330.5819431075</v>
      </c>
      <c r="K121">
        <v>51097.733915068202</v>
      </c>
      <c r="L121">
        <v>15987.901266609</v>
      </c>
      <c r="M121">
        <v>19350.349595595701</v>
      </c>
      <c r="N121">
        <v>1010.46273302954</v>
      </c>
      <c r="O121">
        <v>0</v>
      </c>
      <c r="P121">
        <f t="shared" si="29"/>
        <v>238336.70127240644</v>
      </c>
      <c r="Q121">
        <v>1265.6913868611</v>
      </c>
      <c r="R121">
        <v>17746.163883660702</v>
      </c>
      <c r="S121">
        <v>507.03325381887902</v>
      </c>
      <c r="T121" s="6">
        <v>-0.25983751983286502</v>
      </c>
    </row>
    <row r="122" spans="1:22" x14ac:dyDescent="0.4">
      <c r="A122">
        <v>20</v>
      </c>
      <c r="B122">
        <v>30</v>
      </c>
      <c r="C122">
        <v>2</v>
      </c>
      <c r="D122">
        <f t="shared" si="28"/>
        <v>116625.1695160947</v>
      </c>
      <c r="E122">
        <v>282182.50548365602</v>
      </c>
      <c r="F122">
        <v>0.84045954058697003</v>
      </c>
      <c r="G122">
        <v>19302.752565837702</v>
      </c>
      <c r="H122">
        <v>6226.5181629292701</v>
      </c>
      <c r="I122">
        <v>3974.5318253822402</v>
      </c>
      <c r="J122">
        <v>29503.802554149199</v>
      </c>
      <c r="K122">
        <v>51013.610661725899</v>
      </c>
      <c r="L122">
        <v>15760.601295416</v>
      </c>
      <c r="M122">
        <v>19332.981882301501</v>
      </c>
      <c r="N122">
        <v>1014.17312250211</v>
      </c>
      <c r="O122">
        <v>0</v>
      </c>
      <c r="P122">
        <f t="shared" si="29"/>
        <v>237184.84133509122</v>
      </c>
      <c r="Q122">
        <v>1386.9848841974899</v>
      </c>
      <c r="R122">
        <v>18436.445202769701</v>
      </c>
      <c r="S122">
        <v>209.50505912238299</v>
      </c>
      <c r="T122" s="6">
        <v>0.28049716262959101</v>
      </c>
    </row>
    <row r="123" spans="1:22" x14ac:dyDescent="0.4">
      <c r="A123" s="3">
        <v>20</v>
      </c>
      <c r="B123" s="3">
        <v>20</v>
      </c>
      <c r="C123" s="3">
        <v>2</v>
      </c>
      <c r="D123">
        <f t="shared" si="28"/>
        <v>115198.459983006</v>
      </c>
      <c r="E123">
        <v>282179.67123297497</v>
      </c>
      <c r="F123">
        <v>0.83541194997266699</v>
      </c>
      <c r="G123">
        <v>19351.2255529412</v>
      </c>
      <c r="H123">
        <v>6002.0469674603501</v>
      </c>
      <c r="I123">
        <v>2645.4376652921501</v>
      </c>
      <c r="J123">
        <v>27998.710185693701</v>
      </c>
      <c r="K123">
        <v>51033.4442867088</v>
      </c>
      <c r="L123">
        <v>15815.1228903871</v>
      </c>
      <c r="M123">
        <v>19337.009497714302</v>
      </c>
      <c r="N123">
        <v>1014.17312250211</v>
      </c>
      <c r="O123">
        <v>0</v>
      </c>
      <c r="P123">
        <f t="shared" si="29"/>
        <v>235758.13180200252</v>
      </c>
      <c r="Q123">
        <v>1336.98290493166</v>
      </c>
      <c r="R123">
        <v>18577.307877855899</v>
      </c>
      <c r="S123">
        <v>432.030415764091</v>
      </c>
      <c r="T123" s="6">
        <v>-0.122490141098651</v>
      </c>
    </row>
    <row r="124" spans="1:22" x14ac:dyDescent="0.4">
      <c r="A124">
        <v>20</v>
      </c>
      <c r="B124">
        <v>15</v>
      </c>
      <c r="C124">
        <v>2</v>
      </c>
      <c r="D124">
        <f t="shared" si="28"/>
        <v>114451.25872361983</v>
      </c>
      <c r="E124">
        <v>282179.67123267101</v>
      </c>
      <c r="F124">
        <v>0.83277713625127903</v>
      </c>
      <c r="G124">
        <v>19390.977969205</v>
      </c>
      <c r="H124">
        <v>5599.5405456203798</v>
      </c>
      <c r="I124">
        <v>2128.1287863747102</v>
      </c>
      <c r="J124">
        <v>27118.647301200101</v>
      </c>
      <c r="K124">
        <v>51068.507704320902</v>
      </c>
      <c r="L124">
        <v>15909.3558282099</v>
      </c>
      <c r="M124">
        <v>19344.285156859401</v>
      </c>
      <c r="N124">
        <v>1010.46273302954</v>
      </c>
      <c r="O124">
        <v>0</v>
      </c>
      <c r="P124">
        <f t="shared" si="29"/>
        <v>235010.93054261635</v>
      </c>
      <c r="Q124">
        <v>1247.3228025527501</v>
      </c>
      <c r="R124">
        <v>16417.502561416801</v>
      </c>
      <c r="S124">
        <v>469.07150175476602</v>
      </c>
      <c r="T124" s="6">
        <v>0.46004655114715598</v>
      </c>
    </row>
    <row r="125" spans="1:22" x14ac:dyDescent="0.4">
      <c r="A125">
        <v>20</v>
      </c>
      <c r="B125">
        <v>12</v>
      </c>
      <c r="C125">
        <v>2</v>
      </c>
      <c r="D125">
        <f t="shared" si="28"/>
        <v>114787.7594081375</v>
      </c>
      <c r="E125">
        <v>282179.67123287602</v>
      </c>
      <c r="F125">
        <v>0.83403396920434802</v>
      </c>
      <c r="G125">
        <v>20436.472361711199</v>
      </c>
      <c r="H125">
        <v>4946.5396722567002</v>
      </c>
      <c r="I125">
        <v>2967.9237851293901</v>
      </c>
      <c r="J125">
        <v>28350.9358190973</v>
      </c>
      <c r="K125">
        <v>50843.184005923598</v>
      </c>
      <c r="L125">
        <v>15303.798385783</v>
      </c>
      <c r="M125">
        <v>19297.530489448302</v>
      </c>
      <c r="N125">
        <v>992.31070788530405</v>
      </c>
      <c r="O125">
        <v>0</v>
      </c>
      <c r="P125">
        <f t="shared" si="29"/>
        <v>235347.43122713402</v>
      </c>
      <c r="Q125">
        <v>1101.8639118583401</v>
      </c>
      <c r="R125">
        <v>13.380488321454299</v>
      </c>
      <c r="S125">
        <v>2.67609766429086</v>
      </c>
      <c r="T125" s="6">
        <v>-198.021555533488</v>
      </c>
    </row>
  </sheetData>
  <mergeCells count="5">
    <mergeCell ref="A64:C64"/>
    <mergeCell ref="A33:C33"/>
    <mergeCell ref="A71:B71"/>
    <mergeCell ref="A69:C69"/>
    <mergeCell ref="A66:D6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3591-8C1F-4C7B-A75D-E9726DFB461B}">
  <dimension ref="A2:P31"/>
  <sheetViews>
    <sheetView workbookViewId="0">
      <selection activeCell="E34" sqref="E34"/>
    </sheetView>
  </sheetViews>
  <sheetFormatPr defaultRowHeight="14.6" x14ac:dyDescent="0.4"/>
  <cols>
    <col min="1" max="1" width="22" customWidth="1"/>
    <col min="2" max="2" width="12.84375" customWidth="1"/>
    <col min="3" max="3" width="11.3828125" customWidth="1"/>
    <col min="4" max="4" width="15.53515625" customWidth="1"/>
    <col min="5" max="5" width="16" customWidth="1"/>
    <col min="6" max="6" width="17.07421875" customWidth="1"/>
    <col min="7" max="7" width="15.23046875" customWidth="1"/>
    <col min="8" max="8" width="13.23046875" customWidth="1"/>
    <col min="9" max="11" width="11.3828125" bestFit="1" customWidth="1"/>
  </cols>
  <sheetData>
    <row r="2" spans="1:16" x14ac:dyDescent="0.4">
      <c r="A2" t="s">
        <v>0</v>
      </c>
      <c r="B2" t="s">
        <v>1</v>
      </c>
      <c r="C2" t="s">
        <v>2</v>
      </c>
      <c r="D2" s="3" t="s">
        <v>54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14</v>
      </c>
      <c r="P2" s="2"/>
    </row>
    <row r="3" spans="1:16" x14ac:dyDescent="0.4">
      <c r="A3" t="s">
        <v>47</v>
      </c>
    </row>
    <row r="4" spans="1:16" x14ac:dyDescent="0.4">
      <c r="A4" s="5" t="s">
        <v>22</v>
      </c>
      <c r="B4" s="5" t="s">
        <v>21</v>
      </c>
      <c r="C4">
        <v>4</v>
      </c>
      <c r="D4" s="10">
        <f>H4+I4+J4+K4</f>
        <v>116354.41551491321</v>
      </c>
      <c r="E4" s="10">
        <v>19840.537050750401</v>
      </c>
      <c r="F4" s="10">
        <v>5280.6330826172398</v>
      </c>
      <c r="G4" s="10">
        <v>4877.4899493259099</v>
      </c>
      <c r="H4" s="10">
        <v>29998.660082693601</v>
      </c>
      <c r="I4" s="10">
        <v>51077.135880394701</v>
      </c>
      <c r="J4" s="10">
        <v>15932.544048423801</v>
      </c>
      <c r="K4" s="10">
        <v>19346.075503401102</v>
      </c>
      <c r="L4">
        <v>0</v>
      </c>
    </row>
    <row r="5" spans="1:16" x14ac:dyDescent="0.4">
      <c r="A5" s="5"/>
      <c r="B5" s="5"/>
      <c r="D5" s="10"/>
      <c r="E5" s="10"/>
      <c r="F5" s="10"/>
      <c r="G5" s="10"/>
      <c r="H5" s="10"/>
      <c r="I5" s="10"/>
      <c r="J5" s="10"/>
      <c r="K5" s="10"/>
    </row>
    <row r="6" spans="1:16" ht="14.5" customHeight="1" x14ac:dyDescent="0.4">
      <c r="A6" s="3" t="s">
        <v>48</v>
      </c>
      <c r="B6" s="5"/>
      <c r="D6" s="10"/>
      <c r="E6" s="10"/>
      <c r="F6" s="10"/>
      <c r="G6" s="10"/>
      <c r="H6" s="10"/>
      <c r="I6" s="10"/>
      <c r="J6" s="10"/>
      <c r="K6" s="10"/>
      <c r="M6" s="11" t="s">
        <v>50</v>
      </c>
    </row>
    <row r="7" spans="1:16" ht="14.8" customHeight="1" x14ac:dyDescent="0.4">
      <c r="A7" t="s">
        <v>22</v>
      </c>
      <c r="B7" t="s">
        <v>21</v>
      </c>
      <c r="C7">
        <v>4</v>
      </c>
      <c r="D7" s="10">
        <f>H7+I7+J7+K7</f>
        <v>117113.7004552705</v>
      </c>
      <c r="E7" s="10">
        <v>19619.107842410202</v>
      </c>
      <c r="F7" s="10">
        <v>6176.7328450860596</v>
      </c>
      <c r="G7" s="10">
        <v>1.43619850991576E-5</v>
      </c>
      <c r="H7" s="10">
        <v>25795.8407018582</v>
      </c>
      <c r="I7" s="10">
        <v>50989.945205476797</v>
      </c>
      <c r="J7" s="10">
        <v>20356.5524429125</v>
      </c>
      <c r="K7" s="10">
        <v>19971.362105022999</v>
      </c>
      <c r="L7">
        <v>0</v>
      </c>
      <c r="M7" s="11"/>
    </row>
    <row r="8" spans="1:16" ht="14.8" customHeight="1" x14ac:dyDescent="0.4">
      <c r="D8" s="10">
        <f t="shared" ref="D8:K8" si="0">D7-D4</f>
        <v>759.28494035729091</v>
      </c>
      <c r="E8" s="10">
        <f t="shared" si="0"/>
        <v>-221.42920834019969</v>
      </c>
      <c r="F8" s="10">
        <f t="shared" si="0"/>
        <v>896.09976246881979</v>
      </c>
      <c r="G8" s="10">
        <f t="shared" si="0"/>
        <v>-4877.4899349639245</v>
      </c>
      <c r="H8" s="10">
        <f t="shared" si="0"/>
        <v>-4202.8193808354008</v>
      </c>
      <c r="I8" s="10">
        <f t="shared" si="0"/>
        <v>-87.19067491790338</v>
      </c>
      <c r="J8" s="10">
        <f t="shared" si="0"/>
        <v>4424.0083944886992</v>
      </c>
      <c r="K8" s="10">
        <f t="shared" si="0"/>
        <v>625.28660162189772</v>
      </c>
      <c r="M8" s="11"/>
    </row>
    <row r="9" spans="1:16" ht="14.8" customHeight="1" x14ac:dyDescent="0.4">
      <c r="A9" t="s">
        <v>62</v>
      </c>
      <c r="D9" s="10"/>
      <c r="E9" s="10"/>
      <c r="F9" s="10"/>
      <c r="G9" s="10"/>
      <c r="H9" s="10"/>
      <c r="I9" s="10"/>
      <c r="J9" s="10"/>
      <c r="K9" s="10"/>
      <c r="M9" s="11"/>
    </row>
    <row r="10" spans="1:16" ht="14.8" customHeight="1" x14ac:dyDescent="0.4">
      <c r="B10" t="s">
        <v>21</v>
      </c>
      <c r="C10">
        <v>4</v>
      </c>
      <c r="D10">
        <v>114153.095713535</v>
      </c>
      <c r="E10">
        <v>19390.3410434773</v>
      </c>
      <c r="F10">
        <v>6212.6008869098296</v>
      </c>
      <c r="G10" s="8">
        <v>1.21975885109732E-5</v>
      </c>
      <c r="H10">
        <v>25602.941942584701</v>
      </c>
      <c r="I10">
        <v>50959.945205482203</v>
      </c>
      <c r="J10">
        <v>17946.760793761499</v>
      </c>
      <c r="K10">
        <v>19643.4477717072</v>
      </c>
      <c r="L10">
        <v>0</v>
      </c>
      <c r="M10" s="11"/>
    </row>
    <row r="11" spans="1:16" x14ac:dyDescent="0.4">
      <c r="D11">
        <f>(34653-H10-I11+wrd_pricetater_flex_type_summar!K5+L10)/34653</f>
        <v>0.17154119896168271</v>
      </c>
      <c r="E11" s="10"/>
      <c r="F11" s="10"/>
      <c r="G11" s="10"/>
      <c r="H11" s="10"/>
      <c r="I11" s="10">
        <f>SUM(I10:K10)</f>
        <v>88550.153770950899</v>
      </c>
      <c r="J11" s="10"/>
      <c r="K11" s="10"/>
      <c r="M11" s="11"/>
    </row>
    <row r="12" spans="1:16" x14ac:dyDescent="0.4">
      <c r="A12" s="3" t="s">
        <v>49</v>
      </c>
      <c r="D12" s="10"/>
      <c r="E12" s="10"/>
      <c r="F12" s="10"/>
      <c r="G12" s="10"/>
      <c r="H12" s="10"/>
      <c r="I12" s="10"/>
      <c r="J12" s="10"/>
      <c r="K12" s="10"/>
      <c r="M12" s="11"/>
    </row>
    <row r="13" spans="1:16" x14ac:dyDescent="0.4">
      <c r="A13" s="3" t="s">
        <v>22</v>
      </c>
      <c r="B13" s="3" t="s">
        <v>21</v>
      </c>
      <c r="C13">
        <v>4</v>
      </c>
      <c r="D13" s="10">
        <f>H13+I13+J13+K13</f>
        <v>117112.9202243583</v>
      </c>
      <c r="E13" s="10">
        <v>19617.269555424798</v>
      </c>
      <c r="F13" s="10">
        <v>6177.79087142139</v>
      </c>
      <c r="G13" s="10">
        <v>1.4897343661976701E-5</v>
      </c>
      <c r="H13" s="10">
        <v>25795.060441743601</v>
      </c>
      <c r="I13" s="10">
        <v>50989.945229661498</v>
      </c>
      <c r="J13" s="10">
        <v>20356.5524429125</v>
      </c>
      <c r="K13" s="10">
        <v>19971.3621100407</v>
      </c>
      <c r="L13">
        <v>11020</v>
      </c>
      <c r="M13" s="11"/>
    </row>
    <row r="14" spans="1:16" x14ac:dyDescent="0.4">
      <c r="A14" s="3"/>
      <c r="B14" s="3"/>
      <c r="D14" s="10"/>
      <c r="E14" s="10"/>
      <c r="F14" s="10"/>
      <c r="G14" s="10"/>
      <c r="H14" s="10"/>
      <c r="I14" s="10"/>
      <c r="J14" s="10"/>
      <c r="K14" s="10"/>
      <c r="M14" s="11"/>
    </row>
    <row r="15" spans="1:16" x14ac:dyDescent="0.4">
      <c r="A15" s="3" t="s">
        <v>46</v>
      </c>
      <c r="D15" s="10"/>
      <c r="E15" s="10"/>
      <c r="F15" s="10"/>
      <c r="G15" s="10"/>
      <c r="H15" s="10"/>
      <c r="I15" s="10"/>
      <c r="J15" s="10"/>
      <c r="K15" s="10"/>
    </row>
    <row r="16" spans="1:16" x14ac:dyDescent="0.4">
      <c r="A16" t="s">
        <v>22</v>
      </c>
      <c r="B16" t="s">
        <v>21</v>
      </c>
      <c r="C16">
        <v>4</v>
      </c>
      <c r="D16" s="10">
        <f>H16+I16+J16+K16</f>
        <v>117626.33139463789</v>
      </c>
      <c r="E16" s="10">
        <v>19403.054157778199</v>
      </c>
      <c r="F16" s="10">
        <v>5553.2925107720503</v>
      </c>
      <c r="G16" s="10">
        <v>4877.88612389215</v>
      </c>
      <c r="H16" s="10">
        <v>29834.232792442399</v>
      </c>
      <c r="I16" s="10">
        <v>51173.670096007401</v>
      </c>
      <c r="J16" s="10">
        <v>17123.646419717399</v>
      </c>
      <c r="K16" s="10">
        <v>19494.782086470699</v>
      </c>
      <c r="L16">
        <v>11020</v>
      </c>
    </row>
    <row r="17" spans="1:12" x14ac:dyDescent="0.4">
      <c r="D17">
        <f>(34653-H16-I17+wrd_pricetater_flex_type_summar!K5+L16)/34653</f>
        <v>0.38932217950875497</v>
      </c>
      <c r="I17" s="10">
        <f>I16+J16+K16</f>
        <v>87792.098602195503</v>
      </c>
    </row>
    <row r="18" spans="1:12" x14ac:dyDescent="0.4">
      <c r="A18" s="3" t="s">
        <v>57</v>
      </c>
      <c r="B18" t="s">
        <v>21</v>
      </c>
      <c r="C18">
        <v>4</v>
      </c>
      <c r="D18" s="10">
        <f>H18+I18+J18+K18</f>
        <v>118290.90224843152</v>
      </c>
      <c r="E18" s="10">
        <v>19769.338187252601</v>
      </c>
      <c r="F18" s="10">
        <v>6055.3448338257103</v>
      </c>
      <c r="G18" s="10">
        <v>4869.7822488983002</v>
      </c>
      <c r="H18" s="10">
        <v>30694.465269976601</v>
      </c>
      <c r="I18" s="10">
        <v>50987.320205484903</v>
      </c>
      <c r="J18" s="10">
        <v>17088.664422113401</v>
      </c>
      <c r="K18" s="10">
        <v>19520.452350856602</v>
      </c>
      <c r="L18">
        <v>11020</v>
      </c>
    </row>
    <row r="22" spans="1:12" x14ac:dyDescent="0.4">
      <c r="A22" t="s">
        <v>51</v>
      </c>
      <c r="J22" t="s">
        <v>56</v>
      </c>
    </row>
    <row r="23" spans="1:12" x14ac:dyDescent="0.4">
      <c r="A23" t="s">
        <v>52</v>
      </c>
      <c r="D23" s="10">
        <f>D16-D4</f>
        <v>1271.9158797246782</v>
      </c>
      <c r="E23" s="10">
        <f t="shared" ref="E23:K23" si="1">E16-E4</f>
        <v>-437.48289297220254</v>
      </c>
      <c r="F23" s="10">
        <f t="shared" si="1"/>
        <v>272.65942815481048</v>
      </c>
      <c r="G23" s="10">
        <f t="shared" si="1"/>
        <v>0.39617456624000624</v>
      </c>
      <c r="H23" s="10">
        <f t="shared" si="1"/>
        <v>-164.42729025120207</v>
      </c>
      <c r="I23" s="10">
        <f t="shared" si="1"/>
        <v>96.534215612700791</v>
      </c>
      <c r="J23" s="10">
        <f t="shared" si="1"/>
        <v>1191.1023712935985</v>
      </c>
      <c r="K23" s="10">
        <f t="shared" si="1"/>
        <v>148.7065830695974</v>
      </c>
      <c r="L23" s="10"/>
    </row>
    <row r="25" spans="1:12" x14ac:dyDescent="0.4">
      <c r="A25" t="s">
        <v>55</v>
      </c>
      <c r="D25" s="10">
        <f t="shared" ref="D25:K25" si="2">D7-D4</f>
        <v>759.28494035729091</v>
      </c>
      <c r="E25" s="10">
        <f t="shared" si="2"/>
        <v>-221.42920834019969</v>
      </c>
      <c r="F25" s="10">
        <f t="shared" si="2"/>
        <v>896.09976246881979</v>
      </c>
      <c r="G25" s="10">
        <f t="shared" si="2"/>
        <v>-4877.4899349639245</v>
      </c>
      <c r="H25" s="10">
        <f t="shared" si="2"/>
        <v>-4202.8193808354008</v>
      </c>
      <c r="I25" s="10">
        <f t="shared" si="2"/>
        <v>-87.19067491790338</v>
      </c>
      <c r="J25" s="10">
        <f t="shared" si="2"/>
        <v>4424.0083944886992</v>
      </c>
      <c r="K25" s="10">
        <f t="shared" si="2"/>
        <v>625.28660162189772</v>
      </c>
      <c r="L25" s="10"/>
    </row>
    <row r="27" spans="1:12" x14ac:dyDescent="0.4">
      <c r="A27" t="s">
        <v>53</v>
      </c>
      <c r="D27" s="10">
        <f t="shared" ref="D27:K27" si="3">D16-D13</f>
        <v>513.41117027959262</v>
      </c>
      <c r="E27" s="10">
        <f t="shared" si="3"/>
        <v>-214.21539764659974</v>
      </c>
      <c r="F27" s="10">
        <f t="shared" si="3"/>
        <v>-624.4983606493397</v>
      </c>
      <c r="G27" s="10">
        <f t="shared" si="3"/>
        <v>4877.8861089948059</v>
      </c>
      <c r="H27" s="10">
        <f t="shared" si="3"/>
        <v>4039.1723506987983</v>
      </c>
      <c r="I27" s="10">
        <f t="shared" si="3"/>
        <v>183.72486634590314</v>
      </c>
      <c r="J27" s="10">
        <f t="shared" si="3"/>
        <v>-3232.9060231951007</v>
      </c>
      <c r="K27" s="10">
        <f t="shared" si="3"/>
        <v>-476.58002357000078</v>
      </c>
    </row>
    <row r="29" spans="1:12" x14ac:dyDescent="0.4">
      <c r="A29" t="s">
        <v>59</v>
      </c>
      <c r="D29" s="10">
        <f>D18-D4</f>
        <v>1936.486733518308</v>
      </c>
      <c r="E29" s="10">
        <f t="shared" ref="E29:K29" si="4">E18-E4</f>
        <v>-71.19886349780063</v>
      </c>
      <c r="F29" s="10">
        <f t="shared" si="4"/>
        <v>774.71175120847056</v>
      </c>
      <c r="G29" s="10">
        <f t="shared" si="4"/>
        <v>-7.7077004276097796</v>
      </c>
      <c r="H29" s="10">
        <f t="shared" si="4"/>
        <v>695.80518728300012</v>
      </c>
      <c r="I29" s="10">
        <f t="shared" si="4"/>
        <v>-89.815674909797963</v>
      </c>
      <c r="J29" s="10">
        <f t="shared" si="4"/>
        <v>1156.1203736896005</v>
      </c>
      <c r="K29" s="10">
        <f t="shared" si="4"/>
        <v>174.37684745549996</v>
      </c>
    </row>
    <row r="31" spans="1:12" x14ac:dyDescent="0.4">
      <c r="A31" t="s">
        <v>58</v>
      </c>
      <c r="D31" s="10">
        <f>D16-D18</f>
        <v>-664.57085379362979</v>
      </c>
      <c r="E31" s="10">
        <f t="shared" ref="E31:K31" si="5">E16-E18</f>
        <v>-366.2840294744019</v>
      </c>
      <c r="F31" s="10">
        <f t="shared" si="5"/>
        <v>-502.05232305366007</v>
      </c>
      <c r="G31" s="10">
        <f t="shared" si="5"/>
        <v>8.1038749938497858</v>
      </c>
      <c r="H31" s="10">
        <f t="shared" si="5"/>
        <v>-860.23247753420219</v>
      </c>
      <c r="I31" s="10">
        <f t="shared" si="5"/>
        <v>186.34989052249875</v>
      </c>
      <c r="J31" s="10">
        <f t="shared" si="5"/>
        <v>34.981997603998025</v>
      </c>
      <c r="K31" s="10">
        <f t="shared" si="5"/>
        <v>-25.670264385902556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4AED-31C3-47D6-9398-9693457BF528}">
  <dimension ref="A1:AB19"/>
  <sheetViews>
    <sheetView workbookViewId="0">
      <selection activeCell="G26" sqref="G26"/>
    </sheetView>
  </sheetViews>
  <sheetFormatPr defaultRowHeight="14.6" x14ac:dyDescent="0.4"/>
  <cols>
    <col min="1" max="1" width="26.921875" customWidth="1"/>
    <col min="2" max="2" width="14.69140625" customWidth="1"/>
    <col min="3" max="3" width="12.07421875" customWidth="1"/>
    <col min="4" max="4" width="11" customWidth="1"/>
    <col min="5" max="5" width="8.53515625" customWidth="1"/>
    <col min="6" max="6" width="11.3828125" customWidth="1"/>
    <col min="7" max="7" width="15.07421875" customWidth="1"/>
    <col min="8" max="8" width="10.15234375" customWidth="1"/>
    <col min="9" max="9" width="11.3828125" customWidth="1"/>
    <col min="10" max="10" width="15" bestFit="1" customWidth="1"/>
    <col min="11" max="11" width="16.921875" bestFit="1" customWidth="1"/>
    <col min="26" max="26" width="12.69140625" bestFit="1" customWidth="1"/>
    <col min="27" max="27" width="10.69140625" customWidth="1"/>
    <col min="28" max="28" width="13.84375" customWidth="1"/>
  </cols>
  <sheetData>
    <row r="1" spans="1:28" x14ac:dyDescent="0.4">
      <c r="G1">
        <v>121507.92454383519</v>
      </c>
      <c r="M1">
        <v>34653.411662680403</v>
      </c>
    </row>
    <row r="2" spans="1:28" x14ac:dyDescent="0.4">
      <c r="A2" s="1" t="s">
        <v>67</v>
      </c>
      <c r="B2" s="1" t="s">
        <v>68</v>
      </c>
      <c r="C2" s="1" t="s">
        <v>70</v>
      </c>
      <c r="D2" t="s">
        <v>0</v>
      </c>
      <c r="E2" t="s">
        <v>1</v>
      </c>
      <c r="F2" t="s">
        <v>2</v>
      </c>
      <c r="G2" s="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s="2" t="s">
        <v>13</v>
      </c>
      <c r="R2" t="s">
        <v>14</v>
      </c>
      <c r="S2" s="2" t="s">
        <v>15</v>
      </c>
      <c r="T2" t="s">
        <v>29</v>
      </c>
      <c r="U2" t="s">
        <v>17</v>
      </c>
      <c r="V2" s="2" t="s">
        <v>18</v>
      </c>
      <c r="W2" t="s">
        <v>19</v>
      </c>
      <c r="X2" t="s">
        <v>39</v>
      </c>
      <c r="Y2" t="s">
        <v>40</v>
      </c>
      <c r="Z2" t="s">
        <v>73</v>
      </c>
      <c r="AA2" t="s">
        <v>74</v>
      </c>
      <c r="AB2" t="s">
        <v>75</v>
      </c>
    </row>
    <row r="3" spans="1:28" x14ac:dyDescent="0.4">
      <c r="A3">
        <v>0</v>
      </c>
      <c r="B3" t="s">
        <v>69</v>
      </c>
      <c r="C3">
        <v>5</v>
      </c>
      <c r="D3" t="s">
        <v>22</v>
      </c>
      <c r="E3" t="s">
        <v>21</v>
      </c>
      <c r="F3">
        <v>4</v>
      </c>
      <c r="G3">
        <f t="shared" ref="G3:G13" si="0">M3+N3+O3+P3+Q3-R3</f>
        <v>113976.01616633293</v>
      </c>
      <c r="H3">
        <v>282179.67123285797</v>
      </c>
      <c r="I3">
        <v>0.82949143613233001</v>
      </c>
      <c r="J3">
        <v>19739.4095985942</v>
      </c>
      <c r="K3">
        <v>6280.2265894411403</v>
      </c>
      <c r="L3">
        <v>0</v>
      </c>
      <c r="M3">
        <v>26019.6361880353</v>
      </c>
      <c r="N3">
        <v>50944.945205466604</v>
      </c>
      <c r="O3">
        <v>15577.281609678699</v>
      </c>
      <c r="P3">
        <v>19971.775208230301</v>
      </c>
      <c r="Q3">
        <v>1462.3779549220301</v>
      </c>
      <c r="R3">
        <v>0</v>
      </c>
      <c r="S3">
        <v>234065.620738292</v>
      </c>
      <c r="T3">
        <v>1403.15815187257</v>
      </c>
      <c r="U3">
        <v>34638.685534293101</v>
      </c>
      <c r="V3">
        <v>865.96713835732805</v>
      </c>
      <c r="W3">
        <v>0.1767383415172</v>
      </c>
      <c r="X3">
        <v>38493.267558113897</v>
      </c>
      <c r="Y3">
        <v>300.72865279776499</v>
      </c>
      <c r="Z3">
        <f t="shared" ref="Z3:Z11" si="1">IF(A3=0,0,C3*931*(A3/0.43))</f>
        <v>0</v>
      </c>
      <c r="AA3" s="10">
        <f>O3-Z3</f>
        <v>15577.281609678699</v>
      </c>
      <c r="AB3" s="12">
        <f t="shared" ref="AB3:AB13" si="2">($G$1-G3)/$M$1</f>
        <v>0.21734969274652002</v>
      </c>
    </row>
    <row r="4" spans="1:28" x14ac:dyDescent="0.4">
      <c r="A4">
        <v>0.215</v>
      </c>
      <c r="B4" t="s">
        <v>69</v>
      </c>
      <c r="C4">
        <v>5</v>
      </c>
      <c r="D4" t="s">
        <v>22</v>
      </c>
      <c r="E4" t="s">
        <v>21</v>
      </c>
      <c r="F4">
        <v>4</v>
      </c>
      <c r="G4">
        <f t="shared" si="0"/>
        <v>116312.83602496333</v>
      </c>
      <c r="H4">
        <v>282179.67123287602</v>
      </c>
      <c r="I4">
        <v>0.83777275508208204</v>
      </c>
      <c r="J4">
        <v>19752.187448396198</v>
      </c>
      <c r="K4">
        <v>6300.5639513368096</v>
      </c>
      <c r="L4">
        <v>0</v>
      </c>
      <c r="M4">
        <v>26052.751399732999</v>
      </c>
      <c r="N4">
        <v>50940.911465697704</v>
      </c>
      <c r="O4">
        <v>17895.607600592499</v>
      </c>
      <c r="P4">
        <v>19961.187604018101</v>
      </c>
      <c r="Q4">
        <v>1462.3779549220301</v>
      </c>
      <c r="R4">
        <v>0</v>
      </c>
      <c r="S4">
        <v>236402.440596923</v>
      </c>
      <c r="T4">
        <v>1407.70202217271</v>
      </c>
      <c r="U4">
        <v>34730.9523834672</v>
      </c>
      <c r="V4">
        <v>847.09639959676201</v>
      </c>
      <c r="W4">
        <v>0.108985320449728</v>
      </c>
      <c r="X4">
        <v>38694.883606707001</v>
      </c>
      <c r="Y4">
        <v>304.684122887456</v>
      </c>
      <c r="Z4">
        <f t="shared" si="1"/>
        <v>2327.5</v>
      </c>
      <c r="AA4" s="10">
        <f t="shared" ref="AA4:AA9" si="3">O4-Z4</f>
        <v>15568.107600592499</v>
      </c>
      <c r="AB4" s="12">
        <f t="shared" si="2"/>
        <v>0.14991564378830438</v>
      </c>
    </row>
    <row r="5" spans="1:28" x14ac:dyDescent="0.4">
      <c r="A5">
        <v>0.43</v>
      </c>
      <c r="B5" t="s">
        <v>69</v>
      </c>
      <c r="C5">
        <v>0</v>
      </c>
      <c r="D5" s="5" t="s">
        <v>22</v>
      </c>
      <c r="E5" s="5" t="s">
        <v>21</v>
      </c>
      <c r="F5">
        <v>4</v>
      </c>
      <c r="G5">
        <f t="shared" si="0"/>
        <v>117790.41551491321</v>
      </c>
      <c r="H5">
        <v>282179.67123287602</v>
      </c>
      <c r="I5">
        <v>0.84310254173290999</v>
      </c>
      <c r="J5">
        <v>19840.537050750401</v>
      </c>
      <c r="K5">
        <v>5280.6330826172398</v>
      </c>
      <c r="L5">
        <v>4877.4899493259099</v>
      </c>
      <c r="M5">
        <v>29998.660082693601</v>
      </c>
      <c r="N5">
        <v>51077.135880394701</v>
      </c>
      <c r="O5">
        <v>15932.544048423801</v>
      </c>
      <c r="P5">
        <v>19346.075503401102</v>
      </c>
      <c r="Q5" s="3">
        <v>1436</v>
      </c>
      <c r="R5">
        <v>0</v>
      </c>
      <c r="S5">
        <f t="shared" ref="S5:S7" si="4">G5+$P$1</f>
        <v>117790.41551491321</v>
      </c>
      <c r="T5">
        <v>1179.82420335646</v>
      </c>
      <c r="U5">
        <v>12780.012944633199</v>
      </c>
      <c r="V5">
        <v>511.20051778532797</v>
      </c>
      <c r="W5">
        <v>0.18120426001776399</v>
      </c>
      <c r="X5">
        <v>11081.318719635499</v>
      </c>
      <c r="Y5">
        <v>77.491739298150407</v>
      </c>
      <c r="Z5">
        <f>IF(A5=0,0,C5*931*(A5/0.43))</f>
        <v>0</v>
      </c>
      <c r="AA5" s="10">
        <f t="shared" si="3"/>
        <v>15932.544048423801</v>
      </c>
      <c r="AB5" s="12">
        <f t="shared" si="2"/>
        <v>0.1072768553096176</v>
      </c>
    </row>
    <row r="6" spans="1:28" x14ac:dyDescent="0.4">
      <c r="A6">
        <v>0.86</v>
      </c>
      <c r="B6" t="s">
        <v>69</v>
      </c>
      <c r="C6">
        <v>0</v>
      </c>
      <c r="D6" s="5" t="s">
        <v>22</v>
      </c>
      <c r="E6" s="5" t="s">
        <v>21</v>
      </c>
      <c r="F6">
        <v>4</v>
      </c>
      <c r="G6">
        <f t="shared" si="0"/>
        <v>117790.41551491321</v>
      </c>
      <c r="H6">
        <v>282179.67123287602</v>
      </c>
      <c r="I6">
        <v>0.84310254173290999</v>
      </c>
      <c r="J6">
        <v>19840.537050750401</v>
      </c>
      <c r="K6">
        <v>5280.6330826172398</v>
      </c>
      <c r="L6">
        <v>4877.4899493259099</v>
      </c>
      <c r="M6">
        <v>29998.660082693601</v>
      </c>
      <c r="N6">
        <v>51077.135880394701</v>
      </c>
      <c r="O6">
        <v>15932.544048423801</v>
      </c>
      <c r="P6">
        <v>19346.075503401102</v>
      </c>
      <c r="Q6" s="3">
        <v>1436</v>
      </c>
      <c r="R6">
        <v>0</v>
      </c>
      <c r="S6">
        <f t="shared" si="4"/>
        <v>117790.41551491321</v>
      </c>
      <c r="T6">
        <v>1179.82420335646</v>
      </c>
      <c r="U6">
        <v>12780.012944633199</v>
      </c>
      <c r="V6">
        <v>511.20051778532797</v>
      </c>
      <c r="W6">
        <v>0.18120426001776399</v>
      </c>
      <c r="X6">
        <v>11081.318719635499</v>
      </c>
      <c r="Y6">
        <v>77.491739298150407</v>
      </c>
      <c r="Z6">
        <f t="shared" si="1"/>
        <v>0</v>
      </c>
      <c r="AA6" s="10">
        <f t="shared" si="3"/>
        <v>15932.544048423801</v>
      </c>
      <c r="AB6" s="12">
        <f t="shared" si="2"/>
        <v>0.1072768553096176</v>
      </c>
    </row>
    <row r="7" spans="1:28" x14ac:dyDescent="0.4">
      <c r="A7">
        <v>1.29</v>
      </c>
      <c r="B7" t="s">
        <v>69</v>
      </c>
      <c r="C7">
        <v>0</v>
      </c>
      <c r="D7" s="5" t="s">
        <v>22</v>
      </c>
      <c r="E7" s="5" t="s">
        <v>21</v>
      </c>
      <c r="F7">
        <v>4</v>
      </c>
      <c r="G7">
        <f t="shared" si="0"/>
        <v>117790.41551491321</v>
      </c>
      <c r="H7">
        <v>282179.67123287602</v>
      </c>
      <c r="I7">
        <v>0.84310254173290999</v>
      </c>
      <c r="J7">
        <v>19840.537050750401</v>
      </c>
      <c r="K7">
        <v>5280.6330826172398</v>
      </c>
      <c r="L7">
        <v>4877.4899493259099</v>
      </c>
      <c r="M7">
        <v>29998.660082693601</v>
      </c>
      <c r="N7">
        <v>51077.135880394701</v>
      </c>
      <c r="O7">
        <v>15932.544048423801</v>
      </c>
      <c r="P7">
        <v>19346.075503401102</v>
      </c>
      <c r="Q7" s="3">
        <v>1436</v>
      </c>
      <c r="R7">
        <v>0</v>
      </c>
      <c r="S7">
        <f t="shared" si="4"/>
        <v>117790.41551491321</v>
      </c>
      <c r="T7">
        <v>1179.82420335646</v>
      </c>
      <c r="U7">
        <v>12780.012944633199</v>
      </c>
      <c r="V7">
        <v>511.20051778532797</v>
      </c>
      <c r="W7">
        <v>0.18120426001776399</v>
      </c>
      <c r="X7">
        <v>11081.318719635499</v>
      </c>
      <c r="Y7">
        <v>77.491739298150407</v>
      </c>
      <c r="Z7">
        <f t="shared" si="1"/>
        <v>0</v>
      </c>
      <c r="AA7" s="10">
        <f t="shared" si="3"/>
        <v>15932.544048423801</v>
      </c>
      <c r="AB7" s="12">
        <f t="shared" si="2"/>
        <v>0.1072768553096176</v>
      </c>
    </row>
    <row r="8" spans="1:28" s="21" customFormat="1" x14ac:dyDescent="0.4">
      <c r="D8" s="22"/>
      <c r="E8" s="22"/>
      <c r="Q8" s="23"/>
      <c r="AA8" s="24"/>
      <c r="AB8" s="25"/>
    </row>
    <row r="9" spans="1:28" x14ac:dyDescent="0.4">
      <c r="A9">
        <v>0</v>
      </c>
      <c r="B9" t="s">
        <v>71</v>
      </c>
      <c r="C9">
        <v>5</v>
      </c>
      <c r="D9" s="5" t="s">
        <v>22</v>
      </c>
      <c r="E9" s="5" t="s">
        <v>21</v>
      </c>
      <c r="F9">
        <v>4</v>
      </c>
      <c r="G9">
        <f t="shared" si="0"/>
        <v>102956.01616633293</v>
      </c>
      <c r="H9">
        <f t="shared" ref="H9:Q9" si="5">H3</f>
        <v>282179.67123285797</v>
      </c>
      <c r="I9">
        <f t="shared" si="5"/>
        <v>0.82949143613233001</v>
      </c>
      <c r="J9">
        <f t="shared" si="5"/>
        <v>19739.4095985942</v>
      </c>
      <c r="K9">
        <f t="shared" si="5"/>
        <v>6280.2265894411403</v>
      </c>
      <c r="L9">
        <f t="shared" si="5"/>
        <v>0</v>
      </c>
      <c r="M9">
        <f t="shared" si="5"/>
        <v>26019.6361880353</v>
      </c>
      <c r="N9">
        <f t="shared" si="5"/>
        <v>50944.945205466604</v>
      </c>
      <c r="O9">
        <f t="shared" si="5"/>
        <v>15577.281609678699</v>
      </c>
      <c r="P9">
        <f t="shared" si="5"/>
        <v>19971.775208230301</v>
      </c>
      <c r="Q9">
        <f t="shared" si="5"/>
        <v>1462.3779549220301</v>
      </c>
      <c r="R9">
        <v>11020</v>
      </c>
      <c r="S9">
        <f t="shared" ref="S9:Y10" si="6">S3</f>
        <v>234065.620738292</v>
      </c>
      <c r="T9">
        <f t="shared" si="6"/>
        <v>1403.15815187257</v>
      </c>
      <c r="U9">
        <f t="shared" si="6"/>
        <v>34638.685534293101</v>
      </c>
      <c r="V9">
        <f t="shared" si="6"/>
        <v>865.96713835732805</v>
      </c>
      <c r="W9">
        <f t="shared" si="6"/>
        <v>0.1767383415172</v>
      </c>
      <c r="X9">
        <f t="shared" si="6"/>
        <v>38493.267558113897</v>
      </c>
      <c r="Y9">
        <f t="shared" si="6"/>
        <v>300.72865279776499</v>
      </c>
      <c r="Z9">
        <f t="shared" si="1"/>
        <v>0</v>
      </c>
      <c r="AA9" s="10">
        <f t="shared" si="3"/>
        <v>15577.281609678699</v>
      </c>
      <c r="AB9" s="12">
        <f t="shared" si="2"/>
        <v>0.53535589967557295</v>
      </c>
    </row>
    <row r="10" spans="1:28" x14ac:dyDescent="0.4">
      <c r="A10">
        <v>0.215</v>
      </c>
      <c r="B10" t="s">
        <v>71</v>
      </c>
      <c r="C10">
        <v>5</v>
      </c>
      <c r="D10" s="5" t="s">
        <v>22</v>
      </c>
      <c r="E10" s="5" t="s">
        <v>21</v>
      </c>
      <c r="F10">
        <v>4</v>
      </c>
      <c r="G10">
        <f t="shared" si="0"/>
        <v>105292.83602496333</v>
      </c>
      <c r="H10">
        <f t="shared" ref="H10:Q10" si="7">H4</f>
        <v>282179.67123287602</v>
      </c>
      <c r="I10">
        <f t="shared" si="7"/>
        <v>0.83777275508208204</v>
      </c>
      <c r="J10">
        <f t="shared" si="7"/>
        <v>19752.187448396198</v>
      </c>
      <c r="K10">
        <f t="shared" si="7"/>
        <v>6300.5639513368096</v>
      </c>
      <c r="L10">
        <f t="shared" si="7"/>
        <v>0</v>
      </c>
      <c r="M10">
        <f t="shared" si="7"/>
        <v>26052.751399732999</v>
      </c>
      <c r="N10">
        <f t="shared" si="7"/>
        <v>50940.911465697704</v>
      </c>
      <c r="O10">
        <f t="shared" si="7"/>
        <v>17895.607600592499</v>
      </c>
      <c r="P10">
        <f t="shared" si="7"/>
        <v>19961.187604018101</v>
      </c>
      <c r="Q10">
        <f t="shared" si="7"/>
        <v>1462.3779549220301</v>
      </c>
      <c r="R10">
        <v>11020</v>
      </c>
      <c r="S10">
        <f t="shared" si="6"/>
        <v>236402.440596923</v>
      </c>
      <c r="T10">
        <f t="shared" si="6"/>
        <v>1407.70202217271</v>
      </c>
      <c r="U10">
        <f t="shared" si="6"/>
        <v>34730.9523834672</v>
      </c>
      <c r="V10">
        <f t="shared" si="6"/>
        <v>847.09639959676201</v>
      </c>
      <c r="W10">
        <f t="shared" si="6"/>
        <v>0.108985320449728</v>
      </c>
      <c r="X10">
        <f t="shared" si="6"/>
        <v>38694.883606707001</v>
      </c>
      <c r="Y10">
        <f t="shared" si="6"/>
        <v>304.684122887456</v>
      </c>
      <c r="Z10">
        <f>IF(A10=0,0,C10*931*(A10/0.43))</f>
        <v>2327.5</v>
      </c>
      <c r="AA10" s="10">
        <f t="shared" ref="AA10" si="8">O10-Z10</f>
        <v>15568.107600592499</v>
      </c>
      <c r="AB10" s="12">
        <f t="shared" si="2"/>
        <v>0.46792185071735731</v>
      </c>
    </row>
    <row r="11" spans="1:28" x14ac:dyDescent="0.4">
      <c r="A11">
        <v>0.43</v>
      </c>
      <c r="B11" t="s">
        <v>71</v>
      </c>
      <c r="C11">
        <v>5</v>
      </c>
      <c r="D11" s="5" t="s">
        <v>22</v>
      </c>
      <c r="E11" s="5" t="s">
        <v>21</v>
      </c>
      <c r="F11">
        <v>4</v>
      </c>
      <c r="G11">
        <f t="shared" si="0"/>
        <v>107555.29824632255</v>
      </c>
      <c r="H11">
        <v>282179.67123287602</v>
      </c>
      <c r="I11">
        <v>0.80673743017586796</v>
      </c>
      <c r="J11">
        <v>19617.269555424798</v>
      </c>
      <c r="K11">
        <v>6177.79087142139</v>
      </c>
      <c r="L11" s="8">
        <v>1.4897343661976701E-5</v>
      </c>
      <c r="M11">
        <v>25795.060441743601</v>
      </c>
      <c r="N11">
        <v>50989.945229661498</v>
      </c>
      <c r="O11">
        <v>20356.552509954701</v>
      </c>
      <c r="P11">
        <v>19971.3621100407</v>
      </c>
      <c r="Q11">
        <v>1462.3779549220301</v>
      </c>
      <c r="R11">
        <v>11020</v>
      </c>
      <c r="S11">
        <f>G11+$P$1</f>
        <v>107555.29824632255</v>
      </c>
      <c r="T11">
        <v>1380.27146414547</v>
      </c>
      <c r="U11">
        <v>33980.634383525299</v>
      </c>
      <c r="V11">
        <v>943.906510653483</v>
      </c>
      <c r="W11">
        <v>0.36911323114551098</v>
      </c>
      <c r="X11">
        <v>36719.7300995962</v>
      </c>
      <c r="Y11">
        <v>278.17977348178903</v>
      </c>
      <c r="Z11">
        <f t="shared" si="1"/>
        <v>4655</v>
      </c>
      <c r="AA11" s="10">
        <f t="shared" ref="AA11:AA12" si="9">O11-Z11</f>
        <v>15701.552509954701</v>
      </c>
      <c r="AB11" s="12">
        <f t="shared" si="2"/>
        <v>0.40263355404451467</v>
      </c>
    </row>
    <row r="12" spans="1:28" x14ac:dyDescent="0.4">
      <c r="A12">
        <v>0.86</v>
      </c>
      <c r="B12" t="s">
        <v>71</v>
      </c>
      <c r="C12">
        <v>1</v>
      </c>
      <c r="D12" t="s">
        <v>22</v>
      </c>
      <c r="E12" t="s">
        <v>21</v>
      </c>
      <c r="F12">
        <v>4</v>
      </c>
      <c r="G12">
        <f t="shared" si="0"/>
        <v>109004.26297531527</v>
      </c>
      <c r="H12">
        <v>282179.67123287701</v>
      </c>
      <c r="I12">
        <v>0.81196713201368298</v>
      </c>
      <c r="J12">
        <v>19558.449480133298</v>
      </c>
      <c r="K12">
        <v>5823.123014629</v>
      </c>
      <c r="L12">
        <v>4874.6014381139503</v>
      </c>
      <c r="M12">
        <v>30256.1739328763</v>
      </c>
      <c r="N12">
        <v>51073.207101159802</v>
      </c>
      <c r="O12">
        <v>17785.318787562501</v>
      </c>
      <c r="P12">
        <v>19473.9360150432</v>
      </c>
      <c r="Q12">
        <v>1435.62713867346</v>
      </c>
      <c r="R12">
        <v>11020</v>
      </c>
      <c r="S12">
        <v>229120.61836352301</v>
      </c>
      <c r="T12">
        <v>1301.0298834949101</v>
      </c>
      <c r="U12">
        <v>18243.0148495709</v>
      </c>
      <c r="V12">
        <v>200.47269065462501</v>
      </c>
      <c r="W12">
        <v>0.60810875374283502</v>
      </c>
      <c r="X12">
        <v>15218.199622022101</v>
      </c>
      <c r="Y12">
        <v>197.63895613015799</v>
      </c>
      <c r="Z12">
        <f>IF(A12=0,0,C12*931*(A12/0.43))</f>
        <v>1862</v>
      </c>
      <c r="AA12" s="10">
        <f t="shared" si="9"/>
        <v>15923.318787562501</v>
      </c>
      <c r="AB12" s="12">
        <f t="shared" si="2"/>
        <v>0.36082050708979968</v>
      </c>
    </row>
    <row r="13" spans="1:28" x14ac:dyDescent="0.4">
      <c r="A13">
        <v>1.29</v>
      </c>
      <c r="B13" t="s">
        <v>71</v>
      </c>
      <c r="C13">
        <v>1</v>
      </c>
      <c r="D13" t="s">
        <v>22</v>
      </c>
      <c r="E13" t="s">
        <v>21</v>
      </c>
      <c r="F13">
        <v>4</v>
      </c>
      <c r="G13">
        <f t="shared" si="0"/>
        <v>109934.94418775277</v>
      </c>
      <c r="H13">
        <v>282179.67123287701</v>
      </c>
      <c r="I13">
        <v>0.81196713201368298</v>
      </c>
      <c r="J13">
        <v>19558.449480133298</v>
      </c>
      <c r="K13">
        <v>5823.123014629</v>
      </c>
      <c r="L13">
        <v>4874.6014381139503</v>
      </c>
      <c r="M13">
        <v>30256.1739328763</v>
      </c>
      <c r="N13">
        <v>51073.207101159802</v>
      </c>
      <c r="O13">
        <f>17785-Z12+Z13</f>
        <v>18716</v>
      </c>
      <c r="P13">
        <v>19473.9360150432</v>
      </c>
      <c r="Q13">
        <v>1435.62713867346</v>
      </c>
      <c r="R13">
        <v>11020</v>
      </c>
      <c r="S13">
        <v>229120.61836352301</v>
      </c>
      <c r="T13">
        <v>1301.0298834949101</v>
      </c>
      <c r="U13">
        <v>18243.0148495709</v>
      </c>
      <c r="V13">
        <v>200.47269065462501</v>
      </c>
      <c r="W13">
        <v>0.60810875374283502</v>
      </c>
      <c r="X13">
        <v>15218.199622022101</v>
      </c>
      <c r="Y13">
        <v>197.63895613015799</v>
      </c>
      <c r="Z13">
        <f>IF(A13=0,0,C13*931*(A13/0.43))</f>
        <v>2793</v>
      </c>
      <c r="AA13" s="10">
        <f>O13-Z13</f>
        <v>15923</v>
      </c>
      <c r="AB13" s="12">
        <f t="shared" si="2"/>
        <v>0.33396366478241479</v>
      </c>
    </row>
    <row r="14" spans="1:28" s="21" customFormat="1" x14ac:dyDescent="0.4">
      <c r="AA14" s="24"/>
      <c r="AB14" s="25"/>
    </row>
    <row r="15" spans="1:28" x14ac:dyDescent="0.4">
      <c r="A15" s="2">
        <v>0</v>
      </c>
      <c r="B15" s="2" t="s">
        <v>72</v>
      </c>
      <c r="C15">
        <v>5</v>
      </c>
      <c r="D15" t="s">
        <v>22</v>
      </c>
      <c r="E15" t="s">
        <v>21</v>
      </c>
      <c r="F15">
        <v>4</v>
      </c>
      <c r="G15">
        <f t="shared" ref="G15:G17" si="10">M15+N15+O15+P15+Q15-R15</f>
        <v>119671.73999245756</v>
      </c>
      <c r="H15">
        <v>282179.67123287602</v>
      </c>
      <c r="I15">
        <v>0.84963726109434301</v>
      </c>
      <c r="J15">
        <v>22359.428821747701</v>
      </c>
      <c r="K15">
        <v>9372.5859880418993</v>
      </c>
      <c r="L15">
        <v>0</v>
      </c>
      <c r="M15">
        <v>31732.014809789602</v>
      </c>
      <c r="N15">
        <v>50940.353227569998</v>
      </c>
      <c r="O15">
        <v>15564.9406689554</v>
      </c>
      <c r="P15">
        <v>19961.071769606599</v>
      </c>
      <c r="Q15">
        <v>1473.35951653596</v>
      </c>
      <c r="R15">
        <v>0</v>
      </c>
      <c r="S15">
        <v>239750.363002803</v>
      </c>
      <c r="T15">
        <v>1487.55655239671</v>
      </c>
      <c r="U15">
        <v>36747.9939583905</v>
      </c>
      <c r="V15">
        <v>816.62208796423499</v>
      </c>
      <c r="W15">
        <v>1.8327057548719501</v>
      </c>
      <c r="X15">
        <v>42963.301768188801</v>
      </c>
      <c r="Y15">
        <v>349.29513632673797</v>
      </c>
      <c r="Z15">
        <f>IF(A15=0,0,C15*931*(A15/0.43))</f>
        <v>0</v>
      </c>
      <c r="AA15" s="10">
        <f>O15-Z15</f>
        <v>15564.9406689554</v>
      </c>
      <c r="AB15" s="12">
        <f>(wrd_pricetater_flex_type_summar!$D$51-G15)/wrd_pricetater_flex_type_summar!$J$51</f>
        <v>0.65611296926286822</v>
      </c>
    </row>
    <row r="16" spans="1:28" x14ac:dyDescent="0.4">
      <c r="A16" s="2">
        <v>0.215</v>
      </c>
      <c r="B16" s="2" t="s">
        <v>72</v>
      </c>
      <c r="C16">
        <v>5</v>
      </c>
      <c r="D16" t="s">
        <v>22</v>
      </c>
      <c r="E16" t="s">
        <v>21</v>
      </c>
      <c r="F16">
        <v>4</v>
      </c>
      <c r="G16">
        <f t="shared" si="10"/>
        <v>122207.43848874117</v>
      </c>
      <c r="H16">
        <v>282179.67123287602</v>
      </c>
      <c r="I16">
        <v>0.85862337439302705</v>
      </c>
      <c r="J16">
        <v>22422.4091975925</v>
      </c>
      <c r="K16">
        <v>9246.5948656492601</v>
      </c>
      <c r="L16">
        <v>0</v>
      </c>
      <c r="M16">
        <v>31669.0040632417</v>
      </c>
      <c r="N16">
        <v>50981.234041832096</v>
      </c>
      <c r="O16">
        <v>18099.530680245101</v>
      </c>
      <c r="P16">
        <v>19984.310186886301</v>
      </c>
      <c r="Q16">
        <v>1473.35951653596</v>
      </c>
      <c r="R16">
        <v>0</v>
      </c>
      <c r="S16">
        <v>242286.06149908699</v>
      </c>
      <c r="T16">
        <v>1467.5600519750701</v>
      </c>
      <c r="U16">
        <v>37047.600328837303</v>
      </c>
      <c r="V16">
        <v>823.280007307495</v>
      </c>
      <c r="W16">
        <v>1.74944020492494</v>
      </c>
      <c r="X16">
        <v>43335.021637601203</v>
      </c>
      <c r="Y16">
        <v>352.31724908618901</v>
      </c>
      <c r="Z16">
        <f>IF(A16=0,0,C16*931*(A16/0.43))</f>
        <v>2327.5</v>
      </c>
      <c r="AA16" s="10">
        <f>O16-Z16</f>
        <v>15772.030680245101</v>
      </c>
      <c r="AB16" s="12">
        <f>(wrd_pricetater_flex_type_summar!$D$51-G16)/wrd_pricetater_flex_type_summar!$J$51</f>
        <v>0.62953913548825957</v>
      </c>
    </row>
    <row r="17" spans="1:28" x14ac:dyDescent="0.4">
      <c r="A17" s="2">
        <v>0.43</v>
      </c>
      <c r="B17" s="2" t="s">
        <v>72</v>
      </c>
      <c r="C17">
        <v>5</v>
      </c>
      <c r="D17" s="5" t="s">
        <v>22</v>
      </c>
      <c r="E17" s="5" t="s">
        <v>21</v>
      </c>
      <c r="F17">
        <v>4</v>
      </c>
      <c r="G17">
        <f t="shared" si="10"/>
        <v>123759.49613284627</v>
      </c>
      <c r="H17">
        <v>282179.67123286799</v>
      </c>
      <c r="I17">
        <v>0.86412362052107095</v>
      </c>
      <c r="J17">
        <v>22235.129466751401</v>
      </c>
      <c r="K17">
        <v>9205.4053509202495</v>
      </c>
      <c r="L17">
        <v>0</v>
      </c>
      <c r="M17">
        <v>31440.534817671702</v>
      </c>
      <c r="N17">
        <v>50868.697977035903</v>
      </c>
      <c r="O17">
        <v>20030.700516482098</v>
      </c>
      <c r="P17">
        <v>19946.203305120602</v>
      </c>
      <c r="Q17">
        <v>1473.35951653596</v>
      </c>
      <c r="R17">
        <v>0</v>
      </c>
      <c r="S17">
        <f>G17+$P$1</f>
        <v>123759.49613284627</v>
      </c>
      <c r="T17">
        <v>1461.0227171772699</v>
      </c>
      <c r="U17">
        <v>37816.4634857485</v>
      </c>
      <c r="V17">
        <v>822.09703229888203</v>
      </c>
      <c r="W17">
        <v>1.67282971584568</v>
      </c>
      <c r="X17">
        <v>43765.040311224599</v>
      </c>
      <c r="Y17">
        <v>358.72983861659498</v>
      </c>
      <c r="Z17">
        <f>IF(A17=0,0,C17*931*(A17/0.43))</f>
        <v>4655</v>
      </c>
      <c r="AA17" s="10">
        <f>O17-Z17</f>
        <v>15375.700516482098</v>
      </c>
      <c r="AB17" s="12">
        <f>(wrd_pricetater_flex_type_summar!$D$51-G17)/wrd_pricetater_flex_type_summar!$J$51</f>
        <v>0.61327374671924462</v>
      </c>
    </row>
    <row r="18" spans="1:28" x14ac:dyDescent="0.4">
      <c r="A18" s="2">
        <v>0.86</v>
      </c>
      <c r="B18" s="2" t="s">
        <v>72</v>
      </c>
      <c r="C18">
        <v>5</v>
      </c>
      <c r="D18" t="s">
        <v>22</v>
      </c>
      <c r="E18" t="s">
        <v>21</v>
      </c>
      <c r="F18">
        <v>4</v>
      </c>
      <c r="G18">
        <f t="shared" ref="G18:G19" si="11">M18+N18+O18+P18+Q18-R18</f>
        <v>128510.54538627157</v>
      </c>
      <c r="H18">
        <v>282179.67123288399</v>
      </c>
      <c r="I18">
        <v>0.88096058553932999</v>
      </c>
      <c r="J18">
        <v>22250.673834736099</v>
      </c>
      <c r="K18">
        <v>9244.6813880767095</v>
      </c>
      <c r="L18">
        <v>0</v>
      </c>
      <c r="M18">
        <v>31495.355222812799</v>
      </c>
      <c r="N18">
        <v>50878.4272491683</v>
      </c>
      <c r="O18">
        <v>24715.181268666001</v>
      </c>
      <c r="P18">
        <v>19948.222129088499</v>
      </c>
      <c r="Q18">
        <v>1473.35951653596</v>
      </c>
      <c r="R18">
        <v>0</v>
      </c>
      <c r="S18">
        <v>248589.16839661699</v>
      </c>
      <c r="T18">
        <v>1467.25635714281</v>
      </c>
      <c r="U18">
        <v>37808.968336081402</v>
      </c>
      <c r="V18">
        <v>821.934094262641</v>
      </c>
      <c r="W18">
        <v>1.54750201311078</v>
      </c>
      <c r="X18">
        <v>43921.314308243796</v>
      </c>
      <c r="Y18">
        <v>360.010773018392</v>
      </c>
      <c r="Z18">
        <f>IF(A18=0,0,C18*931*(A18/0.43))</f>
        <v>9310</v>
      </c>
      <c r="AA18" s="10">
        <f>O18-Z18</f>
        <v>15405.181268666001</v>
      </c>
      <c r="AB18" s="12">
        <f>(wrd_pricetater_flex_type_summar!$D$51-G18)/wrd_pricetater_flex_type_summar!$J$51</f>
        <v>0.56348328728546615</v>
      </c>
    </row>
    <row r="19" spans="1:28" x14ac:dyDescent="0.4">
      <c r="A19" s="2">
        <v>1.29</v>
      </c>
      <c r="B19" s="2" t="s">
        <v>72</v>
      </c>
      <c r="C19">
        <v>5</v>
      </c>
      <c r="D19" t="s">
        <v>22</v>
      </c>
      <c r="E19" t="s">
        <v>21</v>
      </c>
      <c r="F19">
        <v>4</v>
      </c>
      <c r="G19">
        <f t="shared" si="11"/>
        <v>133101.99841632816</v>
      </c>
      <c r="H19">
        <v>282179.67123286898</v>
      </c>
      <c r="I19">
        <v>0.89723196685467799</v>
      </c>
      <c r="J19">
        <v>22239.845837604698</v>
      </c>
      <c r="K19">
        <v>9215.99935297312</v>
      </c>
      <c r="L19">
        <v>0</v>
      </c>
      <c r="M19">
        <v>31455.845190577798</v>
      </c>
      <c r="N19">
        <v>50871.400221928801</v>
      </c>
      <c r="O19">
        <v>29354.629466349801</v>
      </c>
      <c r="P19">
        <v>19946.7640209358</v>
      </c>
      <c r="Q19">
        <v>1473.35951653596</v>
      </c>
      <c r="R19">
        <v>0</v>
      </c>
      <c r="S19">
        <v>253180.62142667401</v>
      </c>
      <c r="T19">
        <v>1462.70412903026</v>
      </c>
      <c r="U19">
        <v>37658.737638395498</v>
      </c>
      <c r="V19">
        <v>818.66820953033698</v>
      </c>
      <c r="W19">
        <v>1.43175276084397</v>
      </c>
      <c r="X19">
        <v>43571.5293994557</v>
      </c>
      <c r="Y19">
        <v>357.14368360209602</v>
      </c>
      <c r="Z19">
        <f>IF(A19=0,0,C19*931*(A19/0.43))</f>
        <v>13965</v>
      </c>
      <c r="AA19" s="10">
        <f>O19-Z19</f>
        <v>15389.629466349801</v>
      </c>
      <c r="AB19" s="12">
        <f>(wrd_pricetater_flex_type_summar!$D$51-G19)/wrd_pricetater_flex_type_summar!$J$51</f>
        <v>0.51536537824246598</v>
      </c>
    </row>
  </sheetData>
  <phoneticPr fontId="2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5A87-71DC-49C4-874A-7F05794F4461}">
  <dimension ref="A3:P22"/>
  <sheetViews>
    <sheetView workbookViewId="0">
      <selection activeCell="M5" sqref="M5"/>
    </sheetView>
  </sheetViews>
  <sheetFormatPr defaultRowHeight="14.6" x14ac:dyDescent="0.4"/>
  <cols>
    <col min="2" max="2" width="12.61328125" customWidth="1"/>
    <col min="3" max="3" width="9.69140625" customWidth="1"/>
    <col min="4" max="4" width="12.4609375" customWidth="1"/>
    <col min="5" max="5" width="14" customWidth="1"/>
    <col min="6" max="6" width="20.921875" bestFit="1" customWidth="1"/>
    <col min="7" max="7" width="12.23046875" customWidth="1"/>
    <col min="8" max="8" width="18.53515625" customWidth="1"/>
    <col min="9" max="9" width="20.15234375" bestFit="1" customWidth="1"/>
    <col min="10" max="10" width="17.07421875" bestFit="1" customWidth="1"/>
    <col min="11" max="11" width="9.3828125" bestFit="1" customWidth="1"/>
    <col min="12" max="12" width="10.23046875" customWidth="1"/>
    <col min="13" max="13" width="9.3828125" bestFit="1" customWidth="1"/>
    <col min="14" max="14" width="12.15234375" customWidth="1"/>
  </cols>
  <sheetData>
    <row r="3" spans="1:16" x14ac:dyDescent="0.4">
      <c r="C3" t="s">
        <v>76</v>
      </c>
      <c r="D3" t="s">
        <v>77</v>
      </c>
      <c r="E3" t="s">
        <v>79</v>
      </c>
      <c r="F3" t="s">
        <v>80</v>
      </c>
      <c r="G3" t="s">
        <v>81</v>
      </c>
      <c r="H3" t="s">
        <v>82</v>
      </c>
      <c r="I3" t="s">
        <v>75</v>
      </c>
    </row>
    <row r="4" spans="1:16" x14ac:dyDescent="0.4">
      <c r="B4" t="s">
        <v>101</v>
      </c>
      <c r="C4">
        <v>8000</v>
      </c>
      <c r="D4" s="10">
        <v>188119.78330000001</v>
      </c>
      <c r="E4" s="14">
        <f>D4/$D$9</f>
        <v>0.47659528192421896</v>
      </c>
      <c r="F4" s="10">
        <v>23102.276630754801</v>
      </c>
      <c r="G4" s="10">
        <v>21941.326830000002</v>
      </c>
      <c r="H4" s="10">
        <f>(J13+K13+L13)-(J18+K18+L18)</f>
        <v>227.38576910548727</v>
      </c>
      <c r="I4" s="13">
        <f>(G4+H4-F4)/F4*100</f>
        <v>-4.0410044714229976</v>
      </c>
    </row>
    <row r="5" spans="1:16" x14ac:dyDescent="0.4">
      <c r="C5">
        <v>10000</v>
      </c>
      <c r="D5" s="10">
        <v>235149.72602739499</v>
      </c>
      <c r="E5" s="14">
        <f>D5/$D$9</f>
        <v>0.59574409455759325</v>
      </c>
      <c r="F5" s="10">
        <v>34228.405091644003</v>
      </c>
      <c r="G5" s="10">
        <v>25825.974624668099</v>
      </c>
      <c r="H5" s="10">
        <f>(J14+K14+L14)-(J19+K19+L19)</f>
        <v>-12815.109372157822</v>
      </c>
    </row>
    <row r="6" spans="1:16" x14ac:dyDescent="0.4">
      <c r="C6">
        <v>12000</v>
      </c>
      <c r="D6" s="10">
        <v>282179.67123257701</v>
      </c>
      <c r="E6" s="14">
        <f>D6/$D$9</f>
        <v>0.71489291346835959</v>
      </c>
      <c r="F6" s="10">
        <v>34654.757319050303</v>
      </c>
      <c r="G6" s="10">
        <v>29978.252519511701</v>
      </c>
      <c r="H6" s="10">
        <f t="shared" ref="H6:H8" si="0">(J15+K15+L15)-(J20+K20+L20)</f>
        <v>1000.8858604910201</v>
      </c>
      <c r="I6" s="13">
        <f>(G6+H6-F6)/F6*100</f>
        <v>-10.60639064705564</v>
      </c>
    </row>
    <row r="7" spans="1:16" x14ac:dyDescent="0.4">
      <c r="C7">
        <v>14000</v>
      </c>
      <c r="D7" s="10">
        <v>329209.6164</v>
      </c>
      <c r="E7" s="14">
        <f>D7/$D$9</f>
        <v>0.83404173228346457</v>
      </c>
      <c r="F7" s="10">
        <v>45897.885924687798</v>
      </c>
      <c r="G7" s="10">
        <v>34616.141121013003</v>
      </c>
      <c r="H7" s="10">
        <f t="shared" si="0"/>
        <v>-13034.940154857992</v>
      </c>
    </row>
    <row r="8" spans="1:16" x14ac:dyDescent="0.4">
      <c r="B8" t="s">
        <v>102</v>
      </c>
      <c r="C8">
        <v>16000</v>
      </c>
      <c r="D8" s="10">
        <v>376239.56164383498</v>
      </c>
      <c r="E8" s="14">
        <f>D8/$D$9</f>
        <v>0.9531905512921568</v>
      </c>
      <c r="F8" s="10">
        <v>46518.361670285398</v>
      </c>
      <c r="G8" s="10">
        <v>43908.345722562502</v>
      </c>
      <c r="H8" s="10">
        <f t="shared" si="0"/>
        <v>155.84142021488515</v>
      </c>
      <c r="I8" s="13">
        <f>(G8+H8-F8)/F8*100</f>
        <v>-5.2757114382118635</v>
      </c>
    </row>
    <row r="9" spans="1:16" x14ac:dyDescent="0.4">
      <c r="B9" t="s">
        <v>78</v>
      </c>
      <c r="D9" s="10">
        <v>394716</v>
      </c>
    </row>
    <row r="11" spans="1:16" x14ac:dyDescent="0.4">
      <c r="A11" t="s">
        <v>83</v>
      </c>
    </row>
    <row r="12" spans="1:16" x14ac:dyDescent="0.4">
      <c r="A12" s="18" t="s">
        <v>0</v>
      </c>
      <c r="B12" s="19" t="s">
        <v>98</v>
      </c>
      <c r="C12" s="19" t="s">
        <v>85</v>
      </c>
      <c r="D12" s="19" t="s">
        <v>86</v>
      </c>
      <c r="E12" s="19" t="s">
        <v>87</v>
      </c>
      <c r="F12" s="19" t="s">
        <v>4</v>
      </c>
      <c r="G12" s="19" t="s">
        <v>88</v>
      </c>
      <c r="H12" s="19" t="s">
        <v>89</v>
      </c>
      <c r="I12" s="19" t="s">
        <v>90</v>
      </c>
      <c r="J12" s="19" t="s">
        <v>91</v>
      </c>
      <c r="K12" s="19" t="s">
        <v>92</v>
      </c>
      <c r="L12" s="19" t="s">
        <v>93</v>
      </c>
      <c r="M12" s="19" t="s">
        <v>94</v>
      </c>
      <c r="N12" s="19" t="s">
        <v>95</v>
      </c>
      <c r="O12" s="19" t="s">
        <v>96</v>
      </c>
      <c r="P12" s="19" t="s">
        <v>97</v>
      </c>
    </row>
    <row r="13" spans="1:16" x14ac:dyDescent="0.4">
      <c r="A13" s="15" t="s">
        <v>84</v>
      </c>
      <c r="B13" s="16" t="s">
        <v>99</v>
      </c>
      <c r="C13" s="17">
        <f t="shared" ref="C13:C16" si="1">N13+M13+L13+K13+J13</f>
        <v>80541.55863</v>
      </c>
      <c r="D13" s="16">
        <v>8000</v>
      </c>
      <c r="E13" s="16">
        <v>10</v>
      </c>
      <c r="F13" s="20">
        <v>188119.78330000001</v>
      </c>
      <c r="G13" s="20">
        <v>200683.70370000001</v>
      </c>
      <c r="H13" s="20">
        <v>13644.59908</v>
      </c>
      <c r="I13" s="20">
        <v>8296.7277529999992</v>
      </c>
      <c r="J13" s="20">
        <v>33953.835149999999</v>
      </c>
      <c r="K13" s="20">
        <v>10359.425139999999</v>
      </c>
      <c r="L13" s="20">
        <v>12877.13408</v>
      </c>
      <c r="M13" s="20">
        <v>21941.326830000002</v>
      </c>
      <c r="N13" s="20">
        <v>1409.83743</v>
      </c>
      <c r="O13" s="16">
        <v>0</v>
      </c>
      <c r="P13" s="16">
        <v>1.0667868110000001</v>
      </c>
    </row>
    <row r="14" spans="1:16" x14ac:dyDescent="0.4">
      <c r="A14" s="15" t="s">
        <v>84</v>
      </c>
      <c r="B14" s="16" t="s">
        <v>99</v>
      </c>
      <c r="C14" s="17">
        <f t="shared" si="1"/>
        <v>99135.784106883366</v>
      </c>
      <c r="D14" s="16">
        <v>10000</v>
      </c>
      <c r="E14" s="16">
        <v>10</v>
      </c>
      <c r="F14" s="20">
        <v>235149.72602739499</v>
      </c>
      <c r="G14" s="20">
        <v>219262.567779392</v>
      </c>
      <c r="H14" s="20">
        <v>16362.727098568001</v>
      </c>
      <c r="I14" s="20">
        <v>9463.2475261001691</v>
      </c>
      <c r="J14" s="20">
        <v>42544.121004540699</v>
      </c>
      <c r="K14" s="20">
        <v>13222.943008009999</v>
      </c>
      <c r="L14" s="20">
        <v>16117.5466152914</v>
      </c>
      <c r="M14" s="20">
        <v>25825.974624668099</v>
      </c>
      <c r="N14" s="20">
        <v>1425.19885437316</v>
      </c>
      <c r="O14" s="16">
        <v>0.107784431137724</v>
      </c>
      <c r="P14" s="16">
        <v>0.93243811712477798</v>
      </c>
    </row>
    <row r="15" spans="1:16" x14ac:dyDescent="0.4">
      <c r="A15" s="15" t="s">
        <v>84</v>
      </c>
      <c r="B15" s="16" t="s">
        <v>99</v>
      </c>
      <c r="C15" s="17">
        <f t="shared" si="1"/>
        <v>117856.65704778227</v>
      </c>
      <c r="D15" s="16">
        <v>12000</v>
      </c>
      <c r="E15" s="16">
        <v>10</v>
      </c>
      <c r="F15" s="20">
        <v>282179.67123257701</v>
      </c>
      <c r="G15" s="20">
        <v>237975.63378803901</v>
      </c>
      <c r="H15" s="20">
        <v>19793.405782867099</v>
      </c>
      <c r="I15" s="20">
        <v>10184.8467366445</v>
      </c>
      <c r="J15" s="20">
        <v>51100.150850479702</v>
      </c>
      <c r="K15" s="20">
        <v>15994.396781481701</v>
      </c>
      <c r="L15" s="20">
        <v>19350.851109684401</v>
      </c>
      <c r="M15" s="20">
        <v>29978.252519511701</v>
      </c>
      <c r="N15" s="20">
        <v>1433.00578662475</v>
      </c>
      <c r="O15" s="16">
        <v>0.16167664670658599</v>
      </c>
      <c r="P15" s="16">
        <v>0.84334790223742195</v>
      </c>
    </row>
    <row r="16" spans="1:16" x14ac:dyDescent="0.4">
      <c r="A16" s="15" t="s">
        <v>84</v>
      </c>
      <c r="B16" s="16" t="s">
        <v>99</v>
      </c>
      <c r="C16" s="17">
        <f t="shared" si="1"/>
        <v>135947.17095224367</v>
      </c>
      <c r="D16" s="16">
        <v>14000</v>
      </c>
      <c r="E16" s="16">
        <v>10</v>
      </c>
      <c r="F16" s="20">
        <v>329210.46374056302</v>
      </c>
      <c r="G16" s="20">
        <v>256066.1476925</v>
      </c>
      <c r="H16" s="20">
        <v>23209.551664587099</v>
      </c>
      <c r="I16" s="20">
        <v>11406.5894564259</v>
      </c>
      <c r="J16" s="20">
        <v>59371.758428007903</v>
      </c>
      <c r="K16" s="20">
        <v>18001.101366829</v>
      </c>
      <c r="L16" s="20">
        <v>22525.164249769001</v>
      </c>
      <c r="M16" s="20">
        <v>34616.141121013003</v>
      </c>
      <c r="N16" s="20">
        <v>1433.00578662475</v>
      </c>
      <c r="O16" s="16">
        <v>0.16167664670658599</v>
      </c>
      <c r="P16" s="16">
        <v>0.77781898176327602</v>
      </c>
    </row>
    <row r="17" spans="1:16" x14ac:dyDescent="0.4">
      <c r="A17" s="15" t="s">
        <v>84</v>
      </c>
      <c r="B17" s="16" t="s">
        <v>99</v>
      </c>
      <c r="C17" s="17">
        <f t="shared" ref="C17:C21" si="2">N17+M17+L17+K17+J17</f>
        <v>159412.81974307698</v>
      </c>
      <c r="D17" s="16">
        <v>16000</v>
      </c>
      <c r="E17" s="16">
        <v>10</v>
      </c>
      <c r="F17" s="20">
        <v>376239.56164383498</v>
      </c>
      <c r="G17" s="20">
        <v>279542.18685761699</v>
      </c>
      <c r="H17" s="20">
        <v>27786.2889118024</v>
      </c>
      <c r="I17" s="20">
        <v>16122.056810759999</v>
      </c>
      <c r="J17" s="20">
        <v>67830.922645459694</v>
      </c>
      <c r="K17" s="20">
        <v>20512.593102821898</v>
      </c>
      <c r="L17" s="20">
        <v>25738.3428598918</v>
      </c>
      <c r="M17" s="20">
        <v>43908.345722562502</v>
      </c>
      <c r="N17" s="20">
        <v>1422.6154123410699</v>
      </c>
      <c r="O17" s="16">
        <v>8.9820359281437098E-2</v>
      </c>
      <c r="P17" s="16">
        <v>0.74298988026741397</v>
      </c>
    </row>
    <row r="18" spans="1:16" x14ac:dyDescent="0.4">
      <c r="A18" s="15" t="s">
        <v>84</v>
      </c>
      <c r="B18" s="16" t="s">
        <v>100</v>
      </c>
      <c r="C18" s="17">
        <f t="shared" si="2"/>
        <v>81475.122661244794</v>
      </c>
      <c r="D18" s="16">
        <v>8000</v>
      </c>
      <c r="E18">
        <v>10</v>
      </c>
      <c r="F18" s="4">
        <v>188119.780842915</v>
      </c>
      <c r="G18" s="4">
        <v>201617.267758531</v>
      </c>
      <c r="H18" s="4">
        <v>13751.620935814901</v>
      </c>
      <c r="I18" s="4">
        <v>9350.6556949398891</v>
      </c>
      <c r="J18" s="4">
        <v>33895.456009555302</v>
      </c>
      <c r="K18" s="4">
        <v>10202.5322632261</v>
      </c>
      <c r="L18" s="4">
        <v>12865.0203281131</v>
      </c>
      <c r="M18" s="4">
        <v>23102.276630754801</v>
      </c>
      <c r="N18" s="4">
        <v>1409.83742959549</v>
      </c>
      <c r="O18">
        <v>0</v>
      </c>
      <c r="P18">
        <v>1.0717494293005001</v>
      </c>
    </row>
    <row r="19" spans="1:16" x14ac:dyDescent="0.4">
      <c r="A19" s="15" t="s">
        <v>84</v>
      </c>
      <c r="B19" s="16" t="s">
        <v>100</v>
      </c>
      <c r="C19" s="17">
        <f t="shared" si="2"/>
        <v>120337.96252123939</v>
      </c>
      <c r="D19" s="16">
        <v>10000</v>
      </c>
      <c r="E19">
        <v>10</v>
      </c>
      <c r="F19" s="4">
        <v>279720</v>
      </c>
      <c r="G19" s="4">
        <v>240480.10761852501</v>
      </c>
      <c r="H19" s="4">
        <v>20374.4461607105</v>
      </c>
      <c r="I19" s="4">
        <v>13853.958930933501</v>
      </c>
      <c r="J19" s="4">
        <v>50400</v>
      </c>
      <c r="K19" s="4">
        <v>15170.3999999999</v>
      </c>
      <c r="L19" s="4">
        <v>19129.32</v>
      </c>
      <c r="M19" s="4">
        <v>34228.405091644003</v>
      </c>
      <c r="N19" s="4">
        <v>1409.83742959549</v>
      </c>
      <c r="O19">
        <v>0</v>
      </c>
      <c r="P19">
        <v>0.85971724445347397</v>
      </c>
    </row>
    <row r="20" spans="1:16" x14ac:dyDescent="0.4">
      <c r="A20" s="15" t="s">
        <v>84</v>
      </c>
      <c r="B20" s="16" t="s">
        <v>100</v>
      </c>
      <c r="C20" s="17">
        <f t="shared" si="2"/>
        <v>121509.10762980059</v>
      </c>
      <c r="D20" s="16">
        <v>12000</v>
      </c>
      <c r="E20">
        <v>10</v>
      </c>
      <c r="F20" s="4">
        <v>282179.67123287602</v>
      </c>
      <c r="G20" s="4">
        <v>241651.25272708701</v>
      </c>
      <c r="H20" s="4">
        <v>20628.2321749736</v>
      </c>
      <c r="I20" s="4">
        <v>14026.525144076701</v>
      </c>
      <c r="J20" s="4">
        <v>50843.184005923598</v>
      </c>
      <c r="K20" s="4">
        <v>15303.798385783</v>
      </c>
      <c r="L20" s="4">
        <v>19297.5304894482</v>
      </c>
      <c r="M20" s="4">
        <v>34654.757319050303</v>
      </c>
      <c r="N20" s="4">
        <v>1409.83742959549</v>
      </c>
      <c r="O20">
        <v>0</v>
      </c>
      <c r="P20">
        <v>0.85637371278832397</v>
      </c>
    </row>
    <row r="21" spans="1:16" x14ac:dyDescent="0.4">
      <c r="A21" s="15" t="s">
        <v>84</v>
      </c>
      <c r="B21" s="16" t="s">
        <v>100</v>
      </c>
      <c r="C21" s="17">
        <f t="shared" si="2"/>
        <v>160240.68755374721</v>
      </c>
      <c r="D21" s="16">
        <v>14000</v>
      </c>
      <c r="E21">
        <v>10</v>
      </c>
      <c r="F21" s="4">
        <v>372960.01384574</v>
      </c>
      <c r="G21" s="4">
        <v>280382.83265103301</v>
      </c>
      <c r="H21" s="4">
        <v>27320.699397881199</v>
      </c>
      <c r="I21" s="4">
        <v>18577.186526806599</v>
      </c>
      <c r="J21" s="4">
        <v>67200.002496512097</v>
      </c>
      <c r="K21" s="4">
        <v>20227.200755707701</v>
      </c>
      <c r="L21" s="4">
        <v>25505.7609472441</v>
      </c>
      <c r="M21" s="4">
        <v>45897.885924687798</v>
      </c>
      <c r="N21" s="4">
        <v>1409.83742959549</v>
      </c>
      <c r="O21">
        <v>0</v>
      </c>
      <c r="P21">
        <v>0.75177719391388198</v>
      </c>
    </row>
    <row r="22" spans="1:16" x14ac:dyDescent="0.4">
      <c r="A22" s="15" t="s">
        <v>84</v>
      </c>
      <c r="B22" s="16" t="s">
        <v>100</v>
      </c>
      <c r="C22" s="17">
        <f t="shared" ref="C22" si="3">N22+M22+L22+K22+J22</f>
        <v>161854.2162878394</v>
      </c>
      <c r="D22" s="16">
        <v>16000</v>
      </c>
      <c r="E22">
        <v>10</v>
      </c>
      <c r="F22" s="4">
        <v>376239.56166412297</v>
      </c>
      <c r="G22" s="4">
        <v>281996.36138512503</v>
      </c>
      <c r="H22" s="4">
        <v>27690.037368097801</v>
      </c>
      <c r="I22" s="4">
        <v>18828.324302187499</v>
      </c>
      <c r="J22" s="4">
        <v>67790.912013336099</v>
      </c>
      <c r="K22" s="4">
        <v>20405.064520267199</v>
      </c>
      <c r="L22" s="4">
        <v>25730.040654355202</v>
      </c>
      <c r="M22" s="4">
        <v>46518.361670285398</v>
      </c>
      <c r="N22" s="4">
        <v>1409.83742959549</v>
      </c>
      <c r="O22">
        <v>0</v>
      </c>
      <c r="P22">
        <v>0.74951278418953005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wrd_pricetater_flex_type_summar</vt:lpstr>
      <vt:lpstr>Understanding DR Result</vt:lpstr>
      <vt:lpstr>SA - Start-Up Cost</vt:lpstr>
      <vt:lpstr>SA - Water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Churchill, Jake</cp:lastModifiedBy>
  <dcterms:created xsi:type="dcterms:W3CDTF">2026-05-20T23:03:01Z</dcterms:created>
  <dcterms:modified xsi:type="dcterms:W3CDTF">2026-10-02T06:05:15Z</dcterms:modified>
</cp:coreProperties>
</file>