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7560A29D-97F0-4F54-A6E1-36BBAB920F4F}" xr6:coauthVersionLast="47" xr6:coauthVersionMax="47" xr10:uidLastSave="{00000000-0000-0000-0000-000000000000}"/>
  <bookViews>
    <workbookView xWindow="57480" yWindow="8430" windowWidth="29040" windowHeight="15720" activeTab="1" xr2:uid="{C549BF93-41CE-4809-A3B1-A16DB1FF836F}"/>
  </bookViews>
  <sheets>
    <sheet name="wrd_pricetater_flex_type_summar" sheetId="1" r:id="rId1"/>
    <sheet name="Understanding DR Resul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2" l="1"/>
  <c r="I14" i="2"/>
  <c r="K58" i="1"/>
  <c r="D57" i="1"/>
  <c r="P57" i="1" s="1"/>
  <c r="D76" i="1"/>
  <c r="K70" i="1"/>
  <c r="K5" i="1"/>
  <c r="O69" i="1"/>
  <c r="N69" i="1"/>
  <c r="M69" i="1"/>
  <c r="L69" i="1"/>
  <c r="K69" i="1"/>
  <c r="J69" i="1"/>
  <c r="I69" i="1"/>
  <c r="H69" i="1"/>
  <c r="G69" i="1"/>
  <c r="F69" i="1"/>
  <c r="E69" i="1"/>
  <c r="D69" i="1"/>
  <c r="D68" i="1"/>
  <c r="P68" i="1" s="1"/>
  <c r="P69" i="1" s="1"/>
  <c r="D62" i="1"/>
  <c r="P62" i="1" s="1"/>
  <c r="K25" i="2"/>
  <c r="J25" i="2"/>
  <c r="I25" i="2"/>
  <c r="H25" i="2"/>
  <c r="G25" i="2"/>
  <c r="F25" i="2"/>
  <c r="E25" i="2"/>
  <c r="D25" i="2"/>
  <c r="K27" i="2"/>
  <c r="J27" i="2"/>
  <c r="I27" i="2"/>
  <c r="H27" i="2"/>
  <c r="G27" i="2"/>
  <c r="F27" i="2"/>
  <c r="E27" i="2"/>
  <c r="D15" i="2"/>
  <c r="K21" i="2"/>
  <c r="J21" i="2"/>
  <c r="I21" i="2"/>
  <c r="H21" i="2"/>
  <c r="G21" i="2"/>
  <c r="F21" i="2"/>
  <c r="E21" i="2"/>
  <c r="K23" i="2"/>
  <c r="J23" i="2"/>
  <c r="I23" i="2"/>
  <c r="H23" i="2"/>
  <c r="G23" i="2"/>
  <c r="F23" i="2"/>
  <c r="E23" i="2"/>
  <c r="D13" i="2"/>
  <c r="D27" i="2" s="1"/>
  <c r="D10" i="2"/>
  <c r="D7" i="2"/>
  <c r="D4" i="2"/>
  <c r="K19" i="2"/>
  <c r="J19" i="2"/>
  <c r="I19" i="2"/>
  <c r="H19" i="2"/>
  <c r="G19" i="2"/>
  <c r="F19" i="2"/>
  <c r="E19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N87" i="1"/>
  <c r="M87" i="1"/>
  <c r="L87" i="1"/>
  <c r="K87" i="1"/>
  <c r="J87" i="1"/>
  <c r="I87" i="1"/>
  <c r="H87" i="1"/>
  <c r="G87" i="1"/>
  <c r="F87" i="1"/>
  <c r="E87" i="1"/>
  <c r="D73" i="1"/>
  <c r="P73" i="1" s="1"/>
  <c r="P77" i="1" s="1"/>
  <c r="O61" i="1"/>
  <c r="D61" i="1" s="1"/>
  <c r="P61" i="1" s="1"/>
  <c r="D86" i="1"/>
  <c r="P86" i="1" s="1"/>
  <c r="D47" i="1"/>
  <c r="P47" i="1" s="1"/>
  <c r="D104" i="1"/>
  <c r="P104" i="1" s="1"/>
  <c r="D103" i="1"/>
  <c r="P103" i="1" s="1"/>
  <c r="D102" i="1"/>
  <c r="P102" i="1" s="1"/>
  <c r="D101" i="1"/>
  <c r="P101" i="1" s="1"/>
  <c r="D100" i="1"/>
  <c r="P100" i="1" s="1"/>
  <c r="D99" i="1"/>
  <c r="P99" i="1" s="1"/>
  <c r="D98" i="1"/>
  <c r="P98" i="1" s="1"/>
  <c r="D89" i="1"/>
  <c r="P89" i="1" s="1"/>
  <c r="D85" i="1"/>
  <c r="P85" i="1" s="1"/>
  <c r="D83" i="1"/>
  <c r="P83" i="1" s="1"/>
  <c r="D82" i="1"/>
  <c r="P82" i="1" s="1"/>
  <c r="D80" i="1"/>
  <c r="P80" i="1" s="1"/>
  <c r="D79" i="1"/>
  <c r="P79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23" i="2" l="1"/>
  <c r="D21" i="2"/>
  <c r="D19" i="2"/>
  <c r="P64" i="1"/>
  <c r="D33" i="1"/>
  <c r="D64" i="1"/>
  <c r="P33" i="1"/>
  <c r="D87" i="1"/>
  <c r="P87" i="1" s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tc={4644E393-F522-4E79-88BA-041770B595A7}</author>
    <author>tc={9FF6B967-6104-43AC-8EED-15C48C9ACCA9}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60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4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5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6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7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8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9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3" authorId="20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1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T101" authorId="22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0" authorId="3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0" authorId="4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3" authorId="5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3" authorId="6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4" authorId="7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19" authorId="8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1" authorId="9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sharedStrings.xml><?xml version="1.0" encoding="utf-8"?>
<sst xmlns="http://schemas.openxmlformats.org/spreadsheetml/2006/main" count="206" uniqueCount="62">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</sst>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8" fillId="0" borderId="0" xfId="0" applyFont="1" applyAlignment="1">
      <alignment horizontal="center"/>
    </xf>
    <xf numFmtId="0" fontId="16" fillId="0" borderId="0" xfId="0" applyFont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T101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10" dT="2026-07-22T19:29:10.19" personId="{114E4FE4-B7B1-4FA3-A72A-3A97E9B9C3CF}" id="{2A87BE78-C559-43AE-95E9-B9B1CDADA8AE}">
    <text>Solution where there is a shutdown for all peak hours</text>
  </threadedComment>
  <threadedComment ref="A10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0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3" dT="2026-07-22T21:09:49.14" personId="{114E4FE4-B7B1-4FA3-A72A-3A97E9B9C3CF}" id="{B28B570C-C764-4378-B61D-458DE4F990EC}">
    <text>Only one plant shutdown allowed</text>
  </threadedComment>
  <threadedComment ref="J13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3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4" dT="2026-08-06T01:53:20.07" personId="{114E4FE4-B7B1-4FA3-A72A-3A97E9B9C3CF}" id="{8E1FBD91-405E-4634-A247-E71AF8AA6758}">
    <text>Percent savings compared to baseline</text>
  </threadedComment>
  <threadedComment ref="J19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1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04"/>
  <sheetViews>
    <sheetView zoomScale="110" zoomScaleNormal="110" workbookViewId="0">
      <selection activeCell="K59" sqref="K59"/>
    </sheetView>
  </sheetViews>
  <sheetFormatPr defaultRowHeight="14.6" x14ac:dyDescent="0.4"/>
  <cols>
    <col min="1" max="1" width="9.61328125" customWidth="1"/>
    <col min="3" max="3" width="11.4609375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1" max="11" width="10.84375" bestFit="1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  <c r="K5">
        <f>K4+L4+M4</f>
        <v>85444.512881154791</v>
      </c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K20">
        <f>K19+L19+M19</f>
        <v>85444.512881154995</v>
      </c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4">
      <c r="A33" s="11" t="s">
        <v>45</v>
      </c>
      <c r="B33" s="11"/>
      <c r="C33" s="11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4">
      <c r="A34" s="2"/>
      <c r="B34" s="2"/>
    </row>
    <row r="35" spans="1:22" x14ac:dyDescent="0.4">
      <c r="A35" s="7" t="s">
        <v>38</v>
      </c>
      <c r="B35" s="2"/>
      <c r="S35" s="2"/>
    </row>
    <row r="36" spans="1:22" x14ac:dyDescent="0.4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4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4">
      <c r="A38" s="7"/>
      <c r="B38" s="2"/>
      <c r="S38" s="2"/>
    </row>
    <row r="39" spans="1:22" x14ac:dyDescent="0.4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4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4">
      <c r="A41" s="3"/>
    </row>
    <row r="42" spans="1:22" x14ac:dyDescent="0.4">
      <c r="A42" s="7" t="s">
        <v>41</v>
      </c>
    </row>
    <row r="43" spans="1:22" x14ac:dyDescent="0.4">
      <c r="A43" s="3" t="s">
        <v>20</v>
      </c>
    </row>
    <row r="44" spans="1:22" x14ac:dyDescent="0.4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4">
      <c r="A45" s="3"/>
    </row>
    <row r="46" spans="1:22" x14ac:dyDescent="0.4">
      <c r="A46" s="3" t="s">
        <v>20</v>
      </c>
    </row>
    <row r="47" spans="1:22" x14ac:dyDescent="0.4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4">
      <c r="A49" s="1" t="s">
        <v>27</v>
      </c>
      <c r="G49" s="4"/>
    </row>
    <row r="50" spans="1:22" x14ac:dyDescent="0.4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6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4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1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4">
      <c r="A52" s="3"/>
      <c r="G52" s="4"/>
    </row>
    <row r="53" spans="1:22" x14ac:dyDescent="0.4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4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4">
      <c r="G55" s="4"/>
    </row>
    <row r="56" spans="1:22" x14ac:dyDescent="0.4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4">
      <c r="A57" s="5" t="s">
        <v>22</v>
      </c>
      <c r="B57" s="5" t="s">
        <v>21</v>
      </c>
      <c r="C57">
        <v>4</v>
      </c>
      <c r="D57">
        <f>J57+K57+L57+M57+N57</f>
        <v>123759.49613284627</v>
      </c>
      <c r="E57">
        <v>282179.67123286799</v>
      </c>
      <c r="F57">
        <v>0.86412362052107095</v>
      </c>
      <c r="G57">
        <v>22235.129466751401</v>
      </c>
      <c r="H57">
        <v>9205.4053509202495</v>
      </c>
      <c r="I57">
        <v>0</v>
      </c>
      <c r="J57">
        <v>31440.534817671702</v>
      </c>
      <c r="K57">
        <v>50868.697977035903</v>
      </c>
      <c r="L57">
        <v>20030.700516482098</v>
      </c>
      <c r="M57">
        <v>19946.203305120602</v>
      </c>
      <c r="N57">
        <v>1473.35951653596</v>
      </c>
      <c r="O57">
        <v>0</v>
      </c>
      <c r="P57">
        <f>D57+$P$1</f>
        <v>244319.16795184277</v>
      </c>
      <c r="Q57">
        <v>1461.0227171772699</v>
      </c>
      <c r="R57">
        <v>37816.4634857485</v>
      </c>
      <c r="S57">
        <v>822.09703229888203</v>
      </c>
      <c r="T57">
        <v>1.67282971584568</v>
      </c>
      <c r="U57">
        <v>43765.040311224599</v>
      </c>
      <c r="V57">
        <v>358.72983861659498</v>
      </c>
    </row>
    <row r="58" spans="1:22" x14ac:dyDescent="0.4">
      <c r="K58">
        <f>K57+L57+M57-K5</f>
        <v>5401.088917483823</v>
      </c>
    </row>
    <row r="59" spans="1:22" x14ac:dyDescent="0.4">
      <c r="A59" s="1" t="s">
        <v>30</v>
      </c>
      <c r="G59" s="4"/>
    </row>
    <row r="60" spans="1:22" x14ac:dyDescent="0.4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4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4">
      <c r="A62" s="3" t="s">
        <v>22</v>
      </c>
      <c r="B62" s="3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4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4">
      <c r="A64" s="11" t="s">
        <v>44</v>
      </c>
      <c r="B64" s="11"/>
      <c r="C64" s="11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4">
      <c r="A65" s="9"/>
      <c r="B65" s="9"/>
      <c r="C65" s="9"/>
      <c r="D65" s="10"/>
    </row>
    <row r="66" spans="1:22" x14ac:dyDescent="0.4">
      <c r="A66" s="9"/>
      <c r="B66" s="9"/>
      <c r="C66" s="9"/>
      <c r="D66" s="10"/>
    </row>
    <row r="67" spans="1:22" x14ac:dyDescent="0.4">
      <c r="A67" s="11" t="s">
        <v>60</v>
      </c>
      <c r="B67" s="11"/>
      <c r="C67" s="9"/>
      <c r="D67" s="10"/>
    </row>
    <row r="68" spans="1:22" x14ac:dyDescent="0.4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4">
      <c r="A69" s="11" t="s">
        <v>61</v>
      </c>
      <c r="B69" s="11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4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4">
      <c r="A71" s="1" t="s">
        <v>42</v>
      </c>
      <c r="G71" s="4"/>
    </row>
    <row r="72" spans="1:22" x14ac:dyDescent="0.4">
      <c r="A72" s="3" t="s">
        <v>20</v>
      </c>
      <c r="B72" s="3" t="s">
        <v>23</v>
      </c>
      <c r="C72" s="3">
        <v>0</v>
      </c>
      <c r="G72" s="4"/>
    </row>
    <row r="73" spans="1:22" x14ac:dyDescent="0.4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4">
      <c r="A74" s="3"/>
      <c r="B74" s="3"/>
      <c r="C74" s="3"/>
      <c r="G74" s="4"/>
    </row>
    <row r="75" spans="1:22" x14ac:dyDescent="0.4">
      <c r="A75" s="3" t="s">
        <v>20</v>
      </c>
      <c r="B75" s="3" t="s">
        <v>21</v>
      </c>
      <c r="C75" s="3">
        <v>4</v>
      </c>
      <c r="G75" s="4"/>
    </row>
    <row r="76" spans="1:22" x14ac:dyDescent="0.4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4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4">
      <c r="A78" s="1" t="s">
        <v>31</v>
      </c>
    </row>
    <row r="79" spans="1:22" x14ac:dyDescent="0.4">
      <c r="A79" s="3" t="s">
        <v>20</v>
      </c>
      <c r="B79" s="3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4">
      <c r="A80" s="3" t="s">
        <v>22</v>
      </c>
      <c r="B80" s="3" t="s">
        <v>23</v>
      </c>
      <c r="C80">
        <v>0</v>
      </c>
      <c r="D80">
        <f>J80+K80+L80+M80+N80</f>
        <v>125763.55741733511</v>
      </c>
      <c r="E80">
        <v>282179.67125180899</v>
      </c>
      <c r="F80">
        <v>0.87293045648394496</v>
      </c>
      <c r="G80">
        <v>22626.697961956499</v>
      </c>
      <c r="H80">
        <v>7102.5767129513297</v>
      </c>
      <c r="I80">
        <v>9597.4591384874802</v>
      </c>
      <c r="J80">
        <v>39326.733813395302</v>
      </c>
      <c r="K80">
        <v>50843.184011688398</v>
      </c>
      <c r="L80">
        <v>15303.798393134501</v>
      </c>
      <c r="M80">
        <v>19297.530491231599</v>
      </c>
      <c r="N80">
        <v>992.31070788530405</v>
      </c>
      <c r="O80">
        <v>0</v>
      </c>
      <c r="P80">
        <f t="shared" si="17"/>
        <v>246323.22923633162</v>
      </c>
      <c r="Q80">
        <v>1127.27501714903</v>
      </c>
      <c r="R80">
        <v>0</v>
      </c>
      <c r="S80">
        <v>0</v>
      </c>
      <c r="T80">
        <v>0</v>
      </c>
    </row>
    <row r="81" spans="1:22" x14ac:dyDescent="0.4">
      <c r="A81" s="1"/>
    </row>
    <row r="82" spans="1:22" x14ac:dyDescent="0.4">
      <c r="A82" t="s">
        <v>20</v>
      </c>
      <c r="B8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4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5" spans="1:22" x14ac:dyDescent="0.4">
      <c r="A85" t="s">
        <v>20</v>
      </c>
      <c r="B85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7" si="19">D85+$P$1</f>
        <v>237266.08760950161</v>
      </c>
      <c r="Q85">
        <v>1127.2750356983499</v>
      </c>
      <c r="R85">
        <v>0</v>
      </c>
    </row>
    <row r="86" spans="1:22" x14ac:dyDescent="0.4">
      <c r="A86" t="s">
        <v>22</v>
      </c>
      <c r="B86" t="s">
        <v>21</v>
      </c>
      <c r="C86">
        <v>4</v>
      </c>
      <c r="D86">
        <f>J86+K86+L86+M86+N86</f>
        <v>121744.79706913032</v>
      </c>
      <c r="E86">
        <v>282179.88376308198</v>
      </c>
      <c r="F86">
        <v>0.85713546401894802</v>
      </c>
      <c r="G86">
        <v>21291.5607898614</v>
      </c>
      <c r="H86">
        <v>7432.3603175362596</v>
      </c>
      <c r="I86">
        <v>5035.2758648834497</v>
      </c>
      <c r="J86">
        <v>33759.196972281097</v>
      </c>
      <c r="K86">
        <v>51128.3645002267</v>
      </c>
      <c r="L86">
        <v>16070.129576240101</v>
      </c>
      <c r="M86">
        <v>19356.7120304526</v>
      </c>
      <c r="N86">
        <v>1430.39398992981</v>
      </c>
      <c r="O86">
        <v>0</v>
      </c>
      <c r="P86">
        <f t="shared" si="19"/>
        <v>242304.46888812684</v>
      </c>
      <c r="Q86">
        <v>1179.61640190856</v>
      </c>
      <c r="R86">
        <v>13411.4010346792</v>
      </c>
      <c r="S86">
        <v>478.97860838140201</v>
      </c>
      <c r="T86">
        <v>0.22564405635506199</v>
      </c>
      <c r="U86">
        <v>10550.3210016294</v>
      </c>
      <c r="V86">
        <v>75.359435725924598</v>
      </c>
    </row>
    <row r="87" spans="1:22" x14ac:dyDescent="0.4">
      <c r="D87">
        <f>D86-D80</f>
        <v>-4018.7603482047853</v>
      </c>
      <c r="E87">
        <f t="shared" ref="E87:N87" si="20">E86-E80</f>
        <v>0.21251127298455685</v>
      </c>
      <c r="F87">
        <f t="shared" si="20"/>
        <v>-1.5794992464996938E-2</v>
      </c>
      <c r="G87">
        <f t="shared" si="20"/>
        <v>-1335.1371720950992</v>
      </c>
      <c r="H87">
        <f t="shared" si="20"/>
        <v>329.78360458492989</v>
      </c>
      <c r="I87">
        <f t="shared" si="20"/>
        <v>-4562.1832736040305</v>
      </c>
      <c r="J87">
        <f t="shared" si="20"/>
        <v>-5567.5368411142044</v>
      </c>
      <c r="K87">
        <f t="shared" si="20"/>
        <v>285.1804885383026</v>
      </c>
      <c r="L87">
        <f t="shared" si="20"/>
        <v>766.33118310559985</v>
      </c>
      <c r="M87">
        <f t="shared" si="20"/>
        <v>59.181539221001003</v>
      </c>
      <c r="N87">
        <f t="shared" si="20"/>
        <v>438.08328204450595</v>
      </c>
      <c r="P87">
        <f t="shared" si="19"/>
        <v>116540.91147079173</v>
      </c>
    </row>
    <row r="88" spans="1:22" x14ac:dyDescent="0.4">
      <c r="A88" s="1" t="s">
        <v>34</v>
      </c>
      <c r="G88" s="4"/>
    </row>
    <row r="89" spans="1:22" x14ac:dyDescent="0.4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ref="P89" si="21">D89+$P$1</f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4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36</v>
      </c>
      <c r="L90" t="s">
        <v>36</v>
      </c>
      <c r="M90" t="s">
        <v>36</v>
      </c>
      <c r="N90" t="s">
        <v>36</v>
      </c>
    </row>
    <row r="91" spans="1:22" hidden="1" x14ac:dyDescent="0.4"/>
    <row r="92" spans="1:22" hidden="1" x14ac:dyDescent="0.4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4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4">
      <c r="A94" s="2" t="s">
        <v>20</v>
      </c>
      <c r="B94" t="s">
        <v>21</v>
      </c>
      <c r="C94">
        <v>4</v>
      </c>
      <c r="D94">
        <v>29525.427309999999</v>
      </c>
      <c r="E94">
        <v>80391.755990000005</v>
      </c>
      <c r="F94">
        <v>0.79280104200000001</v>
      </c>
      <c r="G94" s="4">
        <v>5050.6365619999997</v>
      </c>
      <c r="H94">
        <v>4678.3390820000004</v>
      </c>
      <c r="I94">
        <v>2508.6600360000002</v>
      </c>
      <c r="J94">
        <v>12237.635679999999</v>
      </c>
      <c r="K94">
        <v>13920</v>
      </c>
      <c r="L94">
        <v>2841.544922</v>
      </c>
      <c r="M94">
        <v>5380.5444360000001</v>
      </c>
      <c r="N94">
        <v>279.27307350000001</v>
      </c>
      <c r="O94">
        <v>0</v>
      </c>
      <c r="P94">
        <v>64865.028310000002</v>
      </c>
      <c r="Q94">
        <v>1191.7509680000001</v>
      </c>
      <c r="R94">
        <v>7243.7162129999997</v>
      </c>
      <c r="S94">
        <v>452.7322633</v>
      </c>
      <c r="T94">
        <v>5.8154128590000003</v>
      </c>
    </row>
    <row r="95" spans="1:22" x14ac:dyDescent="0.4">
      <c r="A95" s="7" t="s">
        <v>37</v>
      </c>
    </row>
    <row r="97" spans="1:20" x14ac:dyDescent="0.4">
      <c r="A97" t="s">
        <v>32</v>
      </c>
      <c r="B97" t="s">
        <v>33</v>
      </c>
      <c r="C97" t="s">
        <v>2</v>
      </c>
    </row>
    <row r="98" spans="1:20" x14ac:dyDescent="0.4">
      <c r="A98">
        <v>20</v>
      </c>
      <c r="B98">
        <v>60</v>
      </c>
      <c r="C98">
        <v>2</v>
      </c>
      <c r="D98">
        <f t="shared" ref="D98:D104" si="22">J98+K98+L98+M98+N98</f>
        <v>120712.69088313227</v>
      </c>
      <c r="E98">
        <v>282179.67123285501</v>
      </c>
      <c r="F98">
        <v>0.854946898908852</v>
      </c>
      <c r="G98">
        <v>18681.222424938602</v>
      </c>
      <c r="H98">
        <v>5354.6114985546601</v>
      </c>
      <c r="I98">
        <v>8156.08309050551</v>
      </c>
      <c r="J98">
        <v>32191.917013998798</v>
      </c>
      <c r="K98">
        <v>51372.124296964801</v>
      </c>
      <c r="L98">
        <v>16725.325417965501</v>
      </c>
      <c r="M98">
        <v>19407.285599838699</v>
      </c>
      <c r="N98">
        <v>1016.03855436447</v>
      </c>
      <c r="O98">
        <v>0</v>
      </c>
      <c r="P98">
        <f t="shared" ref="P98:P104" si="23">D98+$P$1</f>
        <v>241272.36270212877</v>
      </c>
      <c r="Q98">
        <v>1192.7637589594799</v>
      </c>
      <c r="R98">
        <v>19736.206339365101</v>
      </c>
      <c r="S98">
        <v>481.37088632597801</v>
      </c>
      <c r="T98" s="6">
        <v>0.12591688076390301</v>
      </c>
    </row>
    <row r="99" spans="1:20" x14ac:dyDescent="0.4">
      <c r="A99">
        <v>20</v>
      </c>
      <c r="B99">
        <v>50</v>
      </c>
      <c r="C99">
        <v>2</v>
      </c>
      <c r="D99">
        <f t="shared" si="22"/>
        <v>119392.42354269064</v>
      </c>
      <c r="E99">
        <v>282254.81855225202</v>
      </c>
      <c r="F99">
        <v>0.85006146065890897</v>
      </c>
      <c r="G99">
        <v>19407.840072768398</v>
      </c>
      <c r="H99">
        <v>5891.8301217549197</v>
      </c>
      <c r="I99">
        <v>6659.4942697455399</v>
      </c>
      <c r="J99">
        <v>31959.164464268899</v>
      </c>
      <c r="K99">
        <v>51102.045942938203</v>
      </c>
      <c r="L99">
        <v>15967.176494174801</v>
      </c>
      <c r="M99">
        <v>19353.573908279199</v>
      </c>
      <c r="N99">
        <v>1010.46273302954</v>
      </c>
      <c r="O99">
        <v>0</v>
      </c>
      <c r="P99">
        <f t="shared" si="23"/>
        <v>239952.09536168716</v>
      </c>
      <c r="Q99">
        <v>1312.43161993582</v>
      </c>
      <c r="R99">
        <v>18377.616631847999</v>
      </c>
      <c r="S99">
        <v>459.4404157962</v>
      </c>
      <c r="T99" s="6">
        <v>0.14758705239613301</v>
      </c>
    </row>
    <row r="100" spans="1:20" x14ac:dyDescent="0.4">
      <c r="A100">
        <v>20</v>
      </c>
      <c r="B100">
        <v>40</v>
      </c>
      <c r="C100">
        <v>2</v>
      </c>
      <c r="D100">
        <f t="shared" si="22"/>
        <v>117777.02945340994</v>
      </c>
      <c r="E100">
        <v>282179.67123287299</v>
      </c>
      <c r="F100">
        <v>0.84456314023622803</v>
      </c>
      <c r="G100">
        <v>19298.245593088301</v>
      </c>
      <c r="H100">
        <v>5682.0016560700296</v>
      </c>
      <c r="I100">
        <v>5350.3346939491703</v>
      </c>
      <c r="J100">
        <v>30330.5819431075</v>
      </c>
      <c r="K100">
        <v>51097.733915068202</v>
      </c>
      <c r="L100">
        <v>15987.901266609</v>
      </c>
      <c r="M100">
        <v>19350.349595595701</v>
      </c>
      <c r="N100">
        <v>1010.46273302954</v>
      </c>
      <c r="O100">
        <v>0</v>
      </c>
      <c r="P100">
        <f t="shared" si="23"/>
        <v>238336.70127240644</v>
      </c>
      <c r="Q100">
        <v>1265.6913868611</v>
      </c>
      <c r="R100">
        <v>17746.163883660702</v>
      </c>
      <c r="S100">
        <v>507.03325381887902</v>
      </c>
      <c r="T100" s="6">
        <v>-0.25983751983286502</v>
      </c>
    </row>
    <row r="101" spans="1:20" x14ac:dyDescent="0.4">
      <c r="A101">
        <v>20</v>
      </c>
      <c r="B101">
        <v>30</v>
      </c>
      <c r="C101">
        <v>2</v>
      </c>
      <c r="D101">
        <f t="shared" si="22"/>
        <v>116625.1695160947</v>
      </c>
      <c r="E101">
        <v>282182.50548365602</v>
      </c>
      <c r="F101">
        <v>0.84045954058697003</v>
      </c>
      <c r="G101">
        <v>19302.752565837702</v>
      </c>
      <c r="H101">
        <v>6226.5181629292701</v>
      </c>
      <c r="I101">
        <v>3974.5318253822402</v>
      </c>
      <c r="J101">
        <v>29503.802554149199</v>
      </c>
      <c r="K101">
        <v>51013.610661725899</v>
      </c>
      <c r="L101">
        <v>15760.601295416</v>
      </c>
      <c r="M101">
        <v>19332.981882301501</v>
      </c>
      <c r="N101">
        <v>1014.17312250211</v>
      </c>
      <c r="O101">
        <v>0</v>
      </c>
      <c r="P101">
        <f t="shared" si="23"/>
        <v>237184.84133509122</v>
      </c>
      <c r="Q101">
        <v>1386.9848841974899</v>
      </c>
      <c r="R101">
        <v>18436.445202769701</v>
      </c>
      <c r="S101">
        <v>209.50505912238299</v>
      </c>
      <c r="T101" s="6">
        <v>0.28049716262959101</v>
      </c>
    </row>
    <row r="102" spans="1:20" x14ac:dyDescent="0.4">
      <c r="A102" s="3">
        <v>20</v>
      </c>
      <c r="B102" s="3">
        <v>20</v>
      </c>
      <c r="C102" s="3">
        <v>2</v>
      </c>
      <c r="D102">
        <f t="shared" si="22"/>
        <v>115198.459983006</v>
      </c>
      <c r="E102">
        <v>282179.67123297497</v>
      </c>
      <c r="F102">
        <v>0.83541194997266699</v>
      </c>
      <c r="G102">
        <v>19351.2255529412</v>
      </c>
      <c r="H102">
        <v>6002.0469674603501</v>
      </c>
      <c r="I102">
        <v>2645.4376652921501</v>
      </c>
      <c r="J102">
        <v>27998.710185693701</v>
      </c>
      <c r="K102">
        <v>51033.4442867088</v>
      </c>
      <c r="L102">
        <v>15815.1228903871</v>
      </c>
      <c r="M102">
        <v>19337.009497714302</v>
      </c>
      <c r="N102">
        <v>1014.17312250211</v>
      </c>
      <c r="O102">
        <v>0</v>
      </c>
      <c r="P102">
        <f t="shared" si="23"/>
        <v>235758.13180200252</v>
      </c>
      <c r="Q102">
        <v>1336.98290493166</v>
      </c>
      <c r="R102">
        <v>18577.307877855899</v>
      </c>
      <c r="S102">
        <v>432.030415764091</v>
      </c>
      <c r="T102" s="6">
        <v>-0.122490141098651</v>
      </c>
    </row>
    <row r="103" spans="1:20" x14ac:dyDescent="0.4">
      <c r="A103">
        <v>20</v>
      </c>
      <c r="B103">
        <v>15</v>
      </c>
      <c r="C103">
        <v>2</v>
      </c>
      <c r="D103">
        <f t="shared" si="22"/>
        <v>114451.25872361983</v>
      </c>
      <c r="E103">
        <v>282179.67123267101</v>
      </c>
      <c r="F103">
        <v>0.83277713625127903</v>
      </c>
      <c r="G103">
        <v>19390.977969205</v>
      </c>
      <c r="H103">
        <v>5599.5405456203798</v>
      </c>
      <c r="I103">
        <v>2128.1287863747102</v>
      </c>
      <c r="J103">
        <v>27118.647301200101</v>
      </c>
      <c r="K103">
        <v>51068.507704320902</v>
      </c>
      <c r="L103">
        <v>15909.3558282099</v>
      </c>
      <c r="M103">
        <v>19344.285156859401</v>
      </c>
      <c r="N103">
        <v>1010.46273302954</v>
      </c>
      <c r="O103">
        <v>0</v>
      </c>
      <c r="P103">
        <f t="shared" si="23"/>
        <v>235010.93054261635</v>
      </c>
      <c r="Q103">
        <v>1247.3228025527501</v>
      </c>
      <c r="R103">
        <v>16417.502561416801</v>
      </c>
      <c r="S103">
        <v>469.07150175476602</v>
      </c>
      <c r="T103" s="6">
        <v>0.46004655114715598</v>
      </c>
    </row>
    <row r="104" spans="1:20" x14ac:dyDescent="0.4">
      <c r="A104">
        <v>20</v>
      </c>
      <c r="B104">
        <v>12</v>
      </c>
      <c r="C104">
        <v>2</v>
      </c>
      <c r="D104">
        <f t="shared" si="22"/>
        <v>114787.7594081375</v>
      </c>
      <c r="E104">
        <v>282179.67123287602</v>
      </c>
      <c r="F104">
        <v>0.83403396920434802</v>
      </c>
      <c r="G104">
        <v>20436.472361711199</v>
      </c>
      <c r="H104">
        <v>4946.5396722567002</v>
      </c>
      <c r="I104">
        <v>2967.9237851293901</v>
      </c>
      <c r="J104">
        <v>28350.9358190973</v>
      </c>
      <c r="K104">
        <v>50843.184005923598</v>
      </c>
      <c r="L104">
        <v>15303.798385783</v>
      </c>
      <c r="M104">
        <v>19297.530489448302</v>
      </c>
      <c r="N104">
        <v>992.31070788530405</v>
      </c>
      <c r="O104">
        <v>0</v>
      </c>
      <c r="P104">
        <f t="shared" si="23"/>
        <v>235347.43122713402</v>
      </c>
      <c r="Q104">
        <v>1101.8639118583401</v>
      </c>
      <c r="R104">
        <v>13.380488321454299</v>
      </c>
      <c r="S104">
        <v>2.67609766429086</v>
      </c>
      <c r="T104" s="6">
        <v>-198.021555533488</v>
      </c>
    </row>
  </sheetData>
  <mergeCells count="4">
    <mergeCell ref="A64:C64"/>
    <mergeCell ref="A33:C33"/>
    <mergeCell ref="A67:B67"/>
    <mergeCell ref="A69:B69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27"/>
  <sheetViews>
    <sheetView tabSelected="1" workbookViewId="0">
      <selection activeCell="E26" sqref="E26"/>
    </sheetView>
  </sheetViews>
  <sheetFormatPr defaultRowHeight="14.6" x14ac:dyDescent="0.4"/>
  <cols>
    <col min="1" max="1" width="22" customWidth="1"/>
    <col min="2" max="2" width="12.84375" customWidth="1"/>
    <col min="3" max="3" width="11.3828125" customWidth="1"/>
    <col min="4" max="4" width="15.53515625" customWidth="1"/>
    <col min="5" max="5" width="16" customWidth="1"/>
    <col min="6" max="6" width="17.07421875" customWidth="1"/>
    <col min="7" max="7" width="15.23046875" customWidth="1"/>
    <col min="8" max="8" width="13.23046875" customWidth="1"/>
    <col min="9" max="11" width="11.3828125" bestFit="1" customWidth="1"/>
  </cols>
  <sheetData>
    <row r="2" spans="1:16" x14ac:dyDescent="0.4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4">
      <c r="A3" t="s">
        <v>47</v>
      </c>
    </row>
    <row r="4" spans="1:16" x14ac:dyDescent="0.4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4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x14ac:dyDescent="0.4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2" t="s">
        <v>50</v>
      </c>
    </row>
    <row r="7" spans="1:16" ht="14.7" customHeight="1" x14ac:dyDescent="0.4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2"/>
    </row>
    <row r="8" spans="1:16" x14ac:dyDescent="0.4">
      <c r="D8" s="10"/>
      <c r="E8" s="10"/>
      <c r="F8" s="10"/>
      <c r="G8" s="10"/>
      <c r="H8" s="10"/>
      <c r="I8" s="10"/>
      <c r="J8" s="10"/>
      <c r="K8" s="10"/>
      <c r="M8" s="12"/>
    </row>
    <row r="9" spans="1:16" x14ac:dyDescent="0.4">
      <c r="A9" s="3" t="s">
        <v>49</v>
      </c>
      <c r="D9" s="10"/>
      <c r="E9" s="10"/>
      <c r="F9" s="10"/>
      <c r="G9" s="10"/>
      <c r="H9" s="10"/>
      <c r="I9" s="10"/>
      <c r="J9" s="10"/>
      <c r="K9" s="10"/>
      <c r="M9" s="12"/>
    </row>
    <row r="10" spans="1:16" x14ac:dyDescent="0.4">
      <c r="A10" s="3" t="s">
        <v>22</v>
      </c>
      <c r="B10" s="3" t="s">
        <v>21</v>
      </c>
      <c r="C10">
        <v>4</v>
      </c>
      <c r="D10" s="10">
        <f>H10+I10+J10+K10</f>
        <v>117112.9202243583</v>
      </c>
      <c r="E10" s="10">
        <v>19617.269555424798</v>
      </c>
      <c r="F10" s="10">
        <v>6177.79087142139</v>
      </c>
      <c r="G10" s="10">
        <v>1.4897343661976701E-5</v>
      </c>
      <c r="H10" s="10">
        <v>25795.060441743601</v>
      </c>
      <c r="I10" s="10">
        <v>50989.945229661498</v>
      </c>
      <c r="J10" s="10">
        <v>20356.5524429125</v>
      </c>
      <c r="K10" s="10">
        <v>19971.3621100407</v>
      </c>
      <c r="L10">
        <v>11020</v>
      </c>
      <c r="M10" s="12"/>
    </row>
    <row r="11" spans="1:16" x14ac:dyDescent="0.4">
      <c r="A11" s="3"/>
      <c r="B11" s="3"/>
      <c r="D11" s="10"/>
      <c r="E11" s="10"/>
      <c r="F11" s="10"/>
      <c r="G11" s="10"/>
      <c r="H11" s="10"/>
      <c r="I11" s="10"/>
      <c r="J11" s="10"/>
      <c r="K11" s="10"/>
      <c r="M11" s="12"/>
    </row>
    <row r="12" spans="1:16" x14ac:dyDescent="0.4">
      <c r="A12" s="3" t="s">
        <v>46</v>
      </c>
      <c r="D12" s="10"/>
      <c r="E12" s="10"/>
      <c r="F12" s="10"/>
      <c r="G12" s="10"/>
      <c r="H12" s="10"/>
      <c r="I12" s="10"/>
      <c r="J12" s="10"/>
      <c r="K12" s="10"/>
    </row>
    <row r="13" spans="1:16" x14ac:dyDescent="0.4">
      <c r="A13" t="s">
        <v>22</v>
      </c>
      <c r="B13" t="s">
        <v>21</v>
      </c>
      <c r="C13">
        <v>4</v>
      </c>
      <c r="D13" s="10">
        <f>H13+I13+J13+K13</f>
        <v>117626.33139463789</v>
      </c>
      <c r="E13" s="10">
        <v>19403.054157778199</v>
      </c>
      <c r="F13" s="10">
        <v>5553.2925107720503</v>
      </c>
      <c r="G13" s="10">
        <v>4877.88612389215</v>
      </c>
      <c r="H13" s="10">
        <v>29834.232792442399</v>
      </c>
      <c r="I13" s="10">
        <v>51173.670096007401</v>
      </c>
      <c r="J13" s="10">
        <v>17123.646419717399</v>
      </c>
      <c r="K13" s="10">
        <v>19494.782086470699</v>
      </c>
      <c r="L13">
        <v>11020</v>
      </c>
    </row>
    <row r="14" spans="1:16" x14ac:dyDescent="0.4">
      <c r="D14">
        <f>(34653-H13-I14+wrd_pricetater_flex_type_summar!K5+L13)/34653</f>
        <v>0.38932217950875497</v>
      </c>
      <c r="I14" s="10">
        <f>I13+J13+K13</f>
        <v>87792.098602195503</v>
      </c>
    </row>
    <row r="15" spans="1:16" x14ac:dyDescent="0.4">
      <c r="A15" s="3" t="s">
        <v>57</v>
      </c>
      <c r="B15" t="s">
        <v>21</v>
      </c>
      <c r="C15">
        <v>4</v>
      </c>
      <c r="D15" s="10">
        <f>H15+I15+J15+K15</f>
        <v>118290.90224843152</v>
      </c>
      <c r="E15" s="10">
        <v>19769.338187252601</v>
      </c>
      <c r="F15" s="10">
        <v>6055.3448338257103</v>
      </c>
      <c r="G15" s="10">
        <v>4869.7822488983002</v>
      </c>
      <c r="H15" s="10">
        <v>30694.465269976601</v>
      </c>
      <c r="I15" s="10">
        <v>50987.320205484903</v>
      </c>
      <c r="J15" s="10">
        <v>17088.664422113401</v>
      </c>
      <c r="K15" s="10">
        <v>19520.452350856602</v>
      </c>
      <c r="L15">
        <v>11020</v>
      </c>
    </row>
    <row r="18" spans="1:12" x14ac:dyDescent="0.4">
      <c r="A18" t="s">
        <v>51</v>
      </c>
      <c r="J18" t="s">
        <v>56</v>
      </c>
    </row>
    <row r="19" spans="1:12" x14ac:dyDescent="0.4">
      <c r="A19" t="s">
        <v>52</v>
      </c>
      <c r="D19" s="10">
        <f>D13-D4</f>
        <v>1271.9158797246782</v>
      </c>
      <c r="E19" s="10">
        <f t="shared" ref="E19:K19" si="0">E13-E4</f>
        <v>-437.48289297220254</v>
      </c>
      <c r="F19" s="10">
        <f t="shared" si="0"/>
        <v>272.65942815481048</v>
      </c>
      <c r="G19" s="10">
        <f t="shared" si="0"/>
        <v>0.39617456624000624</v>
      </c>
      <c r="H19" s="10">
        <f t="shared" si="0"/>
        <v>-164.42729025120207</v>
      </c>
      <c r="I19" s="10">
        <f t="shared" si="0"/>
        <v>96.534215612700791</v>
      </c>
      <c r="J19" s="10">
        <f t="shared" si="0"/>
        <v>1191.1023712935985</v>
      </c>
      <c r="K19" s="10">
        <f t="shared" si="0"/>
        <v>148.7065830695974</v>
      </c>
      <c r="L19" s="10"/>
    </row>
    <row r="21" spans="1:12" x14ac:dyDescent="0.4">
      <c r="A21" t="s">
        <v>55</v>
      </c>
      <c r="D21" s="10">
        <f t="shared" ref="D21:K21" si="1">D7-D4</f>
        <v>759.28494035729091</v>
      </c>
      <c r="E21" s="10">
        <f t="shared" si="1"/>
        <v>-221.42920834019969</v>
      </c>
      <c r="F21" s="10">
        <f t="shared" si="1"/>
        <v>896.09976246881979</v>
      </c>
      <c r="G21" s="10">
        <f t="shared" si="1"/>
        <v>-4877.4899349639245</v>
      </c>
      <c r="H21" s="10">
        <f t="shared" si="1"/>
        <v>-4202.8193808354008</v>
      </c>
      <c r="I21" s="10">
        <f t="shared" si="1"/>
        <v>-87.19067491790338</v>
      </c>
      <c r="J21" s="10">
        <f t="shared" si="1"/>
        <v>4424.0083944886992</v>
      </c>
      <c r="K21" s="10">
        <f t="shared" si="1"/>
        <v>625.28660162189772</v>
      </c>
      <c r="L21" s="10"/>
    </row>
    <row r="23" spans="1:12" x14ac:dyDescent="0.4">
      <c r="A23" t="s">
        <v>53</v>
      </c>
      <c r="D23" s="10">
        <f t="shared" ref="D23:K23" si="2">D13-D10</f>
        <v>513.41117027959262</v>
      </c>
      <c r="E23" s="10">
        <f t="shared" si="2"/>
        <v>-214.21539764659974</v>
      </c>
      <c r="F23" s="10">
        <f t="shared" si="2"/>
        <v>-624.4983606493397</v>
      </c>
      <c r="G23" s="10">
        <f t="shared" si="2"/>
        <v>4877.8861089948059</v>
      </c>
      <c r="H23" s="10">
        <f t="shared" si="2"/>
        <v>4039.1723506987983</v>
      </c>
      <c r="I23" s="10">
        <f t="shared" si="2"/>
        <v>183.72486634590314</v>
      </c>
      <c r="J23" s="10">
        <f t="shared" si="2"/>
        <v>-3232.9060231951007</v>
      </c>
      <c r="K23" s="10">
        <f t="shared" si="2"/>
        <v>-476.58002357000078</v>
      </c>
    </row>
    <row r="25" spans="1:12" x14ac:dyDescent="0.4">
      <c r="A25" t="s">
        <v>59</v>
      </c>
      <c r="D25" s="10">
        <f>D15-D4</f>
        <v>1936.486733518308</v>
      </c>
      <c r="E25" s="10">
        <f t="shared" ref="E25:K25" si="3">E15-E4</f>
        <v>-71.19886349780063</v>
      </c>
      <c r="F25" s="10">
        <f t="shared" si="3"/>
        <v>774.71175120847056</v>
      </c>
      <c r="G25" s="10">
        <f t="shared" si="3"/>
        <v>-7.7077004276097796</v>
      </c>
      <c r="H25" s="10">
        <f t="shared" si="3"/>
        <v>695.80518728300012</v>
      </c>
      <c r="I25" s="10">
        <f t="shared" si="3"/>
        <v>-89.815674909797963</v>
      </c>
      <c r="J25" s="10">
        <f t="shared" si="3"/>
        <v>1156.1203736896005</v>
      </c>
      <c r="K25" s="10">
        <f t="shared" si="3"/>
        <v>174.37684745549996</v>
      </c>
    </row>
    <row r="27" spans="1:12" x14ac:dyDescent="0.4">
      <c r="A27" t="s">
        <v>58</v>
      </c>
      <c r="D27" s="10">
        <f>D13-D15</f>
        <v>-664.57085379362979</v>
      </c>
      <c r="E27" s="10">
        <f t="shared" ref="E27:K27" si="4">E13-E15</f>
        <v>-366.2840294744019</v>
      </c>
      <c r="F27" s="10">
        <f t="shared" si="4"/>
        <v>-502.05232305366007</v>
      </c>
      <c r="G27" s="10">
        <f t="shared" si="4"/>
        <v>8.1038749938497858</v>
      </c>
      <c r="H27" s="10">
        <f t="shared" si="4"/>
        <v>-860.23247753420219</v>
      </c>
      <c r="I27" s="10">
        <f t="shared" si="4"/>
        <v>186.34989052249875</v>
      </c>
      <c r="J27" s="10">
        <f t="shared" si="4"/>
        <v>34.981997603998025</v>
      </c>
      <c r="K27" s="10">
        <f t="shared" si="4"/>
        <v>-25.670264385902556</v>
      </c>
    </row>
  </sheetData>
  <mergeCells count="1">
    <mergeCell ref="M6:M11"/>
  </mergeCell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wrd_pricetater_flex_type_summar</vt:lpstr>
      <vt:lpstr>Understanding DR 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2026-08-06T01:54:08Z</dcterms:modified>
</cp:coreProperties>
</file>