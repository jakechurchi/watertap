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B28D283B-92D7-4C23-AD96-27FA9C83007B}" xr6:coauthVersionLast="47" xr6:coauthVersionMax="47" xr10:uidLastSave="{00000000-0000-0000-0000-000000000000}"/>
  <bookViews>
    <workbookView xWindow="-90" yWindow="0" windowWidth="9780" windowHeight="10170" firstSheet="1" activeTab="2" xr2:uid="{C549BF93-41CE-4809-A3B1-A16DB1FF836F}"/>
  </bookViews>
  <sheets>
    <sheet name="wrd_pricetater_flex_type_summar" sheetId="1" r:id="rId1"/>
    <sheet name="Understanding DR Result" sheetId="2" r:id="rId2"/>
    <sheet name="Sensitivity Analys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3" l="1"/>
  <c r="G7" i="3"/>
  <c r="G6" i="3"/>
  <c r="S6" i="3" s="1"/>
  <c r="G5" i="3"/>
  <c r="S5" i="3" s="1"/>
  <c r="G3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09" i="1" l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tc={E817B344-0186-401A-AC52-C5615721C22C}</author>
    <author>tc={338E2122-408B-451A-85D7-EF9A92A8E19E}</author>
    <author>tc={82E3A100-DFFE-4CB2-B9B2-E28BF20128AB}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Q2" authorId="1" shapeId="0" xr:uid="{E817B344-0186-401A-AC52-C5615721C22C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V2" authorId="2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3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</t>
      </text>
    </comment>
  </commentList>
</comments>
</file>

<file path=xl/sharedStrings.xml><?xml version="1.0" encoding="utf-8"?>
<sst xmlns="http://schemas.openxmlformats.org/spreadsheetml/2006/main" count="285" uniqueCount="73">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</sst>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Q2" dT="2026-07-15T21:03:49.32" personId="{114E4FE4-B7B1-4FA3-A72A-3A97E9B9C3CF}" id="{E817B344-0186-401A-AC52-C5615721C22C}">
    <text>By default, these numbers are incorrect. Only the green numbers are correct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zoomScale="110" zoomScaleNormal="110" workbookViewId="0">
      <selection activeCell="E27" sqref="E27"/>
    </sheetView>
  </sheetViews>
  <sheetFormatPr defaultRowHeight="14.5" x14ac:dyDescent="0.35"/>
  <cols>
    <col min="1" max="1" width="9.6328125" customWidth="1"/>
    <col min="3" max="3" width="10.81640625" customWidth="1"/>
    <col min="4" max="4" width="9" bestFit="1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0"/>
    </row>
    <row r="67" spans="1:22" x14ac:dyDescent="0.35">
      <c r="A67" s="14" t="s">
        <v>60</v>
      </c>
      <c r="B67" s="14"/>
      <c r="C67" s="14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6" spans="1:22" x14ac:dyDescent="0.35">
      <c r="A106" s="1" t="s">
        <v>65</v>
      </c>
      <c r="K106" s="13"/>
    </row>
    <row r="107" spans="1:22" x14ac:dyDescent="0.35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35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35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35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35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35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35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3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35">
      <c r="A115" s="7" t="s">
        <v>37</v>
      </c>
    </row>
    <row r="116" spans="1:20" x14ac:dyDescent="0.35">
      <c r="A116" t="s">
        <v>32</v>
      </c>
      <c r="B116" t="s">
        <v>33</v>
      </c>
      <c r="C116" t="s">
        <v>2</v>
      </c>
    </row>
    <row r="117" spans="1:20" x14ac:dyDescent="0.35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35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35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35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35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35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35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A8" sqref="A8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>
        <f>D7-D4</f>
        <v>759.28494035729091</v>
      </c>
      <c r="E8" s="10">
        <f>E7-E4</f>
        <v>-221.42920834019969</v>
      </c>
      <c r="F8" s="10">
        <f>F7-F4</f>
        <v>896.09976246881979</v>
      </c>
      <c r="G8" s="10">
        <f>G7-G4</f>
        <v>-4877.4899349639245</v>
      </c>
      <c r="H8" s="10">
        <f>H7-H4</f>
        <v>-4202.8193808354008</v>
      </c>
      <c r="I8" s="10">
        <f>I7-I4</f>
        <v>-87.19067491790338</v>
      </c>
      <c r="J8" s="10">
        <f>J7-J4</f>
        <v>4424.0083944886992</v>
      </c>
      <c r="K8" s="10">
        <f>K7-K4</f>
        <v>625.28660162189772</v>
      </c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35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35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2:Y17"/>
  <sheetViews>
    <sheetView tabSelected="1" workbookViewId="0">
      <selection activeCell="C12" sqref="C12"/>
    </sheetView>
  </sheetViews>
  <sheetFormatPr defaultRowHeight="14.5" x14ac:dyDescent="0.35"/>
  <cols>
    <col min="1" max="1" width="27.6328125" customWidth="1"/>
    <col min="2" max="2" width="15.90625" customWidth="1"/>
    <col min="3" max="3" width="13.1796875" customWidth="1"/>
    <col min="4" max="4" width="12.08984375" customWidth="1"/>
  </cols>
  <sheetData>
    <row r="2" spans="1:25" x14ac:dyDescent="0.35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</row>
    <row r="3" spans="1:25" x14ac:dyDescent="0.35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>M3+N3+O3+P3+Q3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</row>
    <row r="4" spans="1:25" x14ac:dyDescent="0.35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v>114954.996549677</v>
      </c>
      <c r="H4">
        <v>282189.04894895799</v>
      </c>
      <c r="I4">
        <v>0.83811536966956601</v>
      </c>
      <c r="J4">
        <v>19873.444109634402</v>
      </c>
      <c r="K4">
        <v>6410.9423067498801</v>
      </c>
      <c r="L4">
        <v>0</v>
      </c>
      <c r="M4">
        <v>26284.386416384299</v>
      </c>
      <c r="N4">
        <v>50909.2414199216</v>
      </c>
      <c r="O4">
        <v>17806.461934653598</v>
      </c>
      <c r="P4">
        <v>19954.906778718101</v>
      </c>
      <c r="Q4">
        <v>1467.84819664867</v>
      </c>
      <c r="R4">
        <v>0</v>
      </c>
      <c r="S4">
        <v>236506.97907655899</v>
      </c>
      <c r="T4">
        <v>1432.36328032659</v>
      </c>
      <c r="U4">
        <v>34730.692350556303</v>
      </c>
      <c r="V4">
        <v>847.09005733064203</v>
      </c>
      <c r="W4">
        <v>0.10581865793454701</v>
      </c>
      <c r="X4">
        <v>39803.051493393003</v>
      </c>
      <c r="Y4">
        <v>313.40985427868497</v>
      </c>
    </row>
    <row r="5" spans="1:25" x14ac:dyDescent="0.35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>M5+N5+O5+P5+Q5</f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5">
        <v>1436</v>
      </c>
      <c r="R5">
        <v>0</v>
      </c>
      <c r="S5">
        <f t="shared" ref="S5:S7" si="0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</row>
    <row r="6" spans="1:25" x14ac:dyDescent="0.35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>M6+N6+O6+P6+Q6</f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5">
        <v>1436</v>
      </c>
      <c r="R6">
        <v>0</v>
      </c>
      <c r="S6">
        <f t="shared" si="0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</row>
    <row r="7" spans="1:25" x14ac:dyDescent="0.35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>M7+N7+O7+P7+Q7</f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5">
        <v>1436</v>
      </c>
      <c r="R7">
        <v>0</v>
      </c>
      <c r="S7">
        <f t="shared" si="0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</row>
    <row r="8" spans="1:25" x14ac:dyDescent="0.35">
      <c r="A8">
        <v>0</v>
      </c>
      <c r="B8" t="s">
        <v>71</v>
      </c>
    </row>
    <row r="9" spans="1:25" x14ac:dyDescent="0.35">
      <c r="A9">
        <v>0.215</v>
      </c>
      <c r="B9" t="s">
        <v>71</v>
      </c>
    </row>
    <row r="10" spans="1:25" x14ac:dyDescent="0.35">
      <c r="A10">
        <v>0.43</v>
      </c>
      <c r="B10" t="s">
        <v>71</v>
      </c>
    </row>
    <row r="11" spans="1:25" x14ac:dyDescent="0.35">
      <c r="A11">
        <v>0.86</v>
      </c>
      <c r="B11" t="s">
        <v>71</v>
      </c>
    </row>
    <row r="12" spans="1:25" x14ac:dyDescent="0.35">
      <c r="A12">
        <v>1.29</v>
      </c>
      <c r="B12" t="s">
        <v>71</v>
      </c>
    </row>
    <row r="13" spans="1:25" x14ac:dyDescent="0.35">
      <c r="A13">
        <v>0</v>
      </c>
      <c r="B13" t="s">
        <v>72</v>
      </c>
    </row>
    <row r="14" spans="1:25" x14ac:dyDescent="0.35">
      <c r="A14">
        <v>0.215</v>
      </c>
      <c r="B14" t="s">
        <v>72</v>
      </c>
    </row>
    <row r="15" spans="1:25" x14ac:dyDescent="0.35">
      <c r="A15">
        <v>0.43</v>
      </c>
      <c r="B15" t="s">
        <v>72</v>
      </c>
    </row>
    <row r="16" spans="1:25" x14ac:dyDescent="0.35">
      <c r="A16">
        <v>0.86</v>
      </c>
      <c r="B16" t="s">
        <v>72</v>
      </c>
    </row>
    <row r="17" spans="1:2" x14ac:dyDescent="0.35">
      <c r="A17">
        <v>1.29</v>
      </c>
      <c r="B17" t="s">
        <v>72</v>
      </c>
    </row>
  </sheetData>
  <phoneticPr fontId="23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wrd_pricetater_flex_type_summar</vt:lpstr>
      <vt:lpstr>Understanding DR Result</vt:lpstr>
      <vt:lpstr>Sensitivity Analyses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2026-08-30T23:25:53Z</dcterms:modified>
</cp:coreProperties>
</file>