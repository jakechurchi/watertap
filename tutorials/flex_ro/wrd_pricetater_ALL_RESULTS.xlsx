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A986B464-F044-4DF2-8695-87D648C453A4}" xr6:coauthVersionLast="47" xr6:coauthVersionMax="47" xr10:uidLastSave="{00000000-0000-0000-0000-000000000000}"/>
  <bookViews>
    <workbookView xWindow="-103" yWindow="-103" windowWidth="33120" windowHeight="1800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3" i="1" l="1"/>
  <c r="D63" i="1"/>
  <c r="D59" i="1"/>
  <c r="P59" i="1" s="1"/>
  <c r="O59" i="1"/>
  <c r="P76" i="1"/>
  <c r="D76" i="1"/>
  <c r="D45" i="1"/>
  <c r="P45" i="1" s="1"/>
  <c r="P94" i="1"/>
  <c r="P93" i="1"/>
  <c r="P92" i="1"/>
  <c r="P91" i="1"/>
  <c r="P90" i="1"/>
  <c r="P89" i="1"/>
  <c r="P88" i="1"/>
  <c r="P79" i="1"/>
  <c r="P75" i="1"/>
  <c r="P73" i="1"/>
  <c r="P72" i="1"/>
  <c r="P70" i="1"/>
  <c r="P69" i="1"/>
  <c r="P58" i="1"/>
  <c r="P55" i="1"/>
  <c r="P54" i="1"/>
  <c r="P52" i="1"/>
  <c r="P51" i="1"/>
  <c r="P42" i="1"/>
  <c r="P49" i="1"/>
  <c r="P48" i="1"/>
  <c r="P38" i="1"/>
  <c r="P37" i="1"/>
  <c r="P35" i="1"/>
  <c r="P34" i="1"/>
  <c r="P31" i="1"/>
  <c r="P30" i="1"/>
  <c r="P28" i="1"/>
  <c r="P27" i="1"/>
  <c r="P25" i="1"/>
  <c r="P24" i="1"/>
  <c r="P22" i="1"/>
  <c r="P19" i="1"/>
  <c r="P18" i="1"/>
  <c r="P13" i="1"/>
  <c r="P12" i="1"/>
  <c r="P10" i="1"/>
  <c r="P9" i="1"/>
  <c r="P7" i="1"/>
  <c r="P6" i="1"/>
  <c r="P4" i="1"/>
  <c r="P3" i="1"/>
  <c r="D94" i="1"/>
  <c r="D93" i="1"/>
  <c r="D92" i="1"/>
  <c r="D91" i="1"/>
  <c r="D90" i="1"/>
  <c r="D89" i="1"/>
  <c r="D88" i="1"/>
  <c r="D79" i="1"/>
  <c r="D75" i="1"/>
  <c r="D73" i="1"/>
  <c r="D72" i="1"/>
  <c r="D70" i="1"/>
  <c r="D69" i="1"/>
  <c r="D58" i="1"/>
  <c r="D55" i="1"/>
  <c r="D54" i="1"/>
  <c r="D52" i="1"/>
  <c r="D51" i="1"/>
  <c r="D49" i="1"/>
  <c r="D48" i="1"/>
  <c r="D42" i="1"/>
  <c r="D38" i="1"/>
  <c r="D37" i="1"/>
  <c r="D35" i="1"/>
  <c r="D34" i="1"/>
  <c r="D31" i="1"/>
  <c r="D30" i="1"/>
  <c r="D28" i="1"/>
  <c r="D27" i="1"/>
  <c r="D25" i="1"/>
  <c r="D24" i="1"/>
  <c r="D22" i="1"/>
  <c r="D19" i="1"/>
  <c r="D18" i="1"/>
  <c r="D13" i="1"/>
  <c r="D12" i="1"/>
  <c r="D10" i="1"/>
  <c r="D9" i="1"/>
  <c r="D7" i="1"/>
  <c r="D6" i="1"/>
  <c r="D4" i="1"/>
  <c r="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tc={FC7CAB31-3DEE-4F30-9288-CDF327BE04E1}</author>
    <author>tc={F9308CF0-AB74-4ABB-91B6-7382ECEADD39}</author>
    <author>tc={B08B550A-B779-4CE5-A29D-4C76A4C93C7E}</author>
    <author>tc={7C262D24-4F73-4A8D-BEED-4FCDB02EBE54}</author>
    <author>tc={B12FED98-6BE9-4BE2-A887-4CF314FA442B}</author>
    <author>tc={4644E393-F522-4E79-88BA-041770B595A7}</author>
    <author>tc={9FF6B967-6104-43AC-8EED-15C48C9ACCA9}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48" authorId="9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49" authorId="10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49" authorId="11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55" authorId="12" shapeId="0" xr:uid="{7C262D24-4F73-4A8D-BEED-4FCDB02EBE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Result from the fast solve</t>
      </text>
    </comment>
    <comment ref="A58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73" authorId="14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79" authorId="15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T91" authorId="16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sharedStrings.xml><?xml version="1.0" encoding="utf-8"?>
<sst xmlns="http://schemas.openxmlformats.org/spreadsheetml/2006/main" count="160" uniqueCount="44">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</sst>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48" dT="2026-05-27T21:42:09.38" personId="{114E4FE4-B7B1-4FA3-A72A-3A97E9B9C3CF}" id="{FC7CAB31-3DEE-4F30-9288-CDF327BE04E1}">
    <text>Winter is low winter weekdays + low weekends</text>
  </threadedComment>
  <threadedComment ref="A49" dT="2026-06-12T21:26:36.67" personId="{114E4FE4-B7B1-4FA3-A72A-3A97E9B9C3CF}" id="{F9308CF0-AB74-4ABB-91B6-7382ECEADD39}">
    <text>Summer week = hot summer weekdays + high weekends</text>
  </threadedComment>
  <threadedComment ref="T49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49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55" dT="2026-06-02T17:16:43.70" personId="{114E4FE4-B7B1-4FA3-A72A-3A97E9B9C3CF}" id="{7C262D24-4F73-4A8D-BEED-4FCDB02EBE54}">
    <text>Result from the fast solve</text>
  </threadedComment>
  <threadedComment ref="A58" dT="2026-07-21T19:50:00.59" personId="{114E4FE4-B7B1-4FA3-A72A-3A97E9B9C3CF}" id="{B12FED98-6BE9-4BE2-A887-4CF314FA442B}">
    <text>Wrong baseline power was used</text>
  </threadedComment>
  <threadedComment ref="A73" dT="2026-07-21T19:23:55.41" personId="{114E4FE4-B7B1-4FA3-A72A-3A97E9B9C3CF}" id="{4644E393-F522-4E79-88BA-041770B595A7}">
    <text>Pretty sure this solution is wrong, but I don’t think I need this case for the paper</text>
  </threadedComment>
  <threadedComment ref="A7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T91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94"/>
  <sheetViews>
    <sheetView tabSelected="1" topLeftCell="A43" zoomScale="110" zoomScaleNormal="110" workbookViewId="0">
      <selection activeCell="D66" sqref="D66"/>
    </sheetView>
  </sheetViews>
  <sheetFormatPr defaultRowHeight="14.6" x14ac:dyDescent="0.4"/>
  <cols>
    <col min="1" max="1" width="9.61328125" customWidth="1"/>
    <col min="3" max="3" width="11.4609375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1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s="2"/>
      <c r="B32" s="2"/>
      <c r="S32" s="2"/>
    </row>
    <row r="33" spans="1:22" x14ac:dyDescent="0.4">
      <c r="A33" s="7" t="s">
        <v>38</v>
      </c>
      <c r="B33" s="2"/>
      <c r="S33" s="2"/>
    </row>
    <row r="34" spans="1:22" x14ac:dyDescent="0.4">
      <c r="A34" t="s">
        <v>20</v>
      </c>
      <c r="B34" t="s">
        <v>23</v>
      </c>
      <c r="C34">
        <v>0</v>
      </c>
      <c r="D34">
        <f>J34+K34+L34+M34+N34</f>
        <v>116993.31924575487</v>
      </c>
      <c r="E34">
        <v>282190.859999999</v>
      </c>
      <c r="F34">
        <v>0.84033715458764902</v>
      </c>
      <c r="G34">
        <v>21182.959346048301</v>
      </c>
      <c r="H34">
        <v>6486.2597020478397</v>
      </c>
      <c r="I34">
        <v>2466.3619080631902</v>
      </c>
      <c r="J34">
        <v>30135.5809561594</v>
      </c>
      <c r="K34">
        <v>50845.200000000099</v>
      </c>
      <c r="L34">
        <v>15304.405199999899</v>
      </c>
      <c r="M34">
        <v>19298.29566</v>
      </c>
      <c r="N34">
        <v>1409.83742959549</v>
      </c>
      <c r="O34">
        <v>0</v>
      </c>
      <c r="P34">
        <f t="shared" ref="P34:P35" si="6">D34+$P$1</f>
        <v>237552.9910647514</v>
      </c>
      <c r="Q34">
        <v>1102.0926609763501</v>
      </c>
      <c r="R34">
        <v>0</v>
      </c>
      <c r="U34">
        <v>15.5670440273115</v>
      </c>
      <c r="V34">
        <v>9.2660976353045002E-2</v>
      </c>
    </row>
    <row r="35" spans="1:22" x14ac:dyDescent="0.4">
      <c r="A35" t="s">
        <v>22</v>
      </c>
      <c r="B35" t="s">
        <v>23</v>
      </c>
      <c r="C35">
        <v>0</v>
      </c>
      <c r="D35">
        <f>J35+K35+L35+M35+N35</f>
        <v>125900.82058980259</v>
      </c>
      <c r="E35">
        <v>282190.859999999</v>
      </c>
      <c r="F35">
        <v>0.87190267497356</v>
      </c>
      <c r="G35">
        <v>23139.129735574901</v>
      </c>
      <c r="H35">
        <v>6486.2597020478397</v>
      </c>
      <c r="I35">
        <v>9417.6928625843393</v>
      </c>
      <c r="J35">
        <v>39043.082300207097</v>
      </c>
      <c r="K35">
        <v>50845.200000000099</v>
      </c>
      <c r="L35">
        <v>15304.405199999899</v>
      </c>
      <c r="M35">
        <v>19298.29566</v>
      </c>
      <c r="N35">
        <v>1409.83742959549</v>
      </c>
      <c r="O35">
        <v>0</v>
      </c>
      <c r="P35">
        <f t="shared" si="6"/>
        <v>246460.49240879912</v>
      </c>
      <c r="Q35">
        <v>1102.0926609763501</v>
      </c>
      <c r="R35">
        <v>0</v>
      </c>
      <c r="U35">
        <v>15.5670440273115</v>
      </c>
      <c r="V35">
        <v>9.2660976353045002E-2</v>
      </c>
    </row>
    <row r="36" spans="1:22" x14ac:dyDescent="0.4">
      <c r="A36" s="7"/>
      <c r="B36" s="2"/>
      <c r="S36" s="2"/>
    </row>
    <row r="37" spans="1:22" x14ac:dyDescent="0.4">
      <c r="A37" s="3" t="s">
        <v>20</v>
      </c>
      <c r="B37" t="s">
        <v>21</v>
      </c>
      <c r="C37">
        <v>4</v>
      </c>
      <c r="D37">
        <f>J37+K37+L37+M37+N37</f>
        <v>116978.51468315258</v>
      </c>
      <c r="E37">
        <v>282179.671254922</v>
      </c>
      <c r="F37">
        <v>0.84031800989031202</v>
      </c>
      <c r="G37">
        <v>21174.931050348201</v>
      </c>
      <c r="H37">
        <v>6483.8014286718599</v>
      </c>
      <c r="I37">
        <v>2465.4271592782502</v>
      </c>
      <c r="J37">
        <v>30124.159638298399</v>
      </c>
      <c r="K37">
        <v>50843.185222512198</v>
      </c>
      <c r="L37">
        <v>15303.8016501727</v>
      </c>
      <c r="M37">
        <v>19297.530742573799</v>
      </c>
      <c r="N37">
        <v>1409.83742959549</v>
      </c>
      <c r="O37">
        <v>0</v>
      </c>
      <c r="P37">
        <f t="shared" ref="P37:P38" si="7">D37+$P$1</f>
        <v>237538.1865021491</v>
      </c>
      <c r="Q37">
        <v>1101.67497109485</v>
      </c>
      <c r="R37">
        <v>54.604983409531002</v>
      </c>
      <c r="S37">
        <v>0.32502966315197002</v>
      </c>
      <c r="T37">
        <v>-106.83117764915301</v>
      </c>
      <c r="U37">
        <v>0</v>
      </c>
    </row>
    <row r="38" spans="1:22" x14ac:dyDescent="0.4">
      <c r="A38" s="3" t="s">
        <v>22</v>
      </c>
      <c r="B38" t="s">
        <v>21</v>
      </c>
      <c r="C38">
        <v>4</v>
      </c>
      <c r="D38">
        <f>J38+K38+L38+M38+N38</f>
        <v>122209.93333437521</v>
      </c>
      <c r="E38">
        <v>282179.67123287602</v>
      </c>
      <c r="F38">
        <v>0.858784478742043</v>
      </c>
      <c r="G38">
        <v>22232.9956437156</v>
      </c>
      <c r="H38">
        <v>6892.28291987389</v>
      </c>
      <c r="I38">
        <v>5063.3926573547897</v>
      </c>
      <c r="J38">
        <v>34188.671220944299</v>
      </c>
      <c r="K38">
        <v>51137.498573919998</v>
      </c>
      <c r="L38">
        <v>16094.7687872735</v>
      </c>
      <c r="M38">
        <v>19358.6007623076</v>
      </c>
      <c r="N38">
        <v>1430.39398992981</v>
      </c>
      <c r="O38">
        <v>0</v>
      </c>
      <c r="P38">
        <f t="shared" si="7"/>
        <v>242769.60515337173</v>
      </c>
      <c r="Q38">
        <v>1171.0808202107701</v>
      </c>
      <c r="R38">
        <v>13170.183258303599</v>
      </c>
      <c r="S38">
        <v>487.784565122358</v>
      </c>
      <c r="T38">
        <v>-0.16035717141929801</v>
      </c>
      <c r="U38">
        <v>9733.9102750884304</v>
      </c>
      <c r="V38">
        <v>69.034824646017199</v>
      </c>
    </row>
    <row r="39" spans="1:22" x14ac:dyDescent="0.4">
      <c r="A39" s="3"/>
    </row>
    <row r="40" spans="1:22" x14ac:dyDescent="0.4">
      <c r="A40" s="7" t="s">
        <v>41</v>
      </c>
    </row>
    <row r="41" spans="1:22" x14ac:dyDescent="0.4">
      <c r="A41" s="3" t="s">
        <v>20</v>
      </c>
    </row>
    <row r="42" spans="1:22" x14ac:dyDescent="0.4">
      <c r="A42" t="s">
        <v>22</v>
      </c>
      <c r="B42" t="s">
        <v>23</v>
      </c>
      <c r="C42">
        <v>0</v>
      </c>
      <c r="D42">
        <f>J42+K42+L42+M42+N42</f>
        <v>125926.94126070438</v>
      </c>
      <c r="E42">
        <v>282190.859999999</v>
      </c>
      <c r="F42">
        <v>0.87199523881812102</v>
      </c>
      <c r="G42">
        <v>23255.929405575898</v>
      </c>
      <c r="H42">
        <v>5559.1797407744398</v>
      </c>
      <c r="I42">
        <v>10254.0938247584</v>
      </c>
      <c r="J42">
        <v>39069.202971108898</v>
      </c>
      <c r="K42">
        <v>50845.200000000099</v>
      </c>
      <c r="L42">
        <v>15304.405199999899</v>
      </c>
      <c r="M42">
        <v>19298.29566</v>
      </c>
      <c r="N42">
        <v>1409.83742959549</v>
      </c>
      <c r="O42">
        <v>0</v>
      </c>
      <c r="P42">
        <f t="shared" ref="P42" si="8">D42+$P$1</f>
        <v>246486.61307970091</v>
      </c>
      <c r="Q42">
        <v>1102.0926609763501</v>
      </c>
      <c r="R42">
        <v>0</v>
      </c>
      <c r="U42">
        <v>15.5670440273115</v>
      </c>
      <c r="V42">
        <v>9.2660976353045002E-2</v>
      </c>
    </row>
    <row r="43" spans="1:22" x14ac:dyDescent="0.4">
      <c r="A43" s="3"/>
    </row>
    <row r="44" spans="1:22" x14ac:dyDescent="0.4">
      <c r="A44" s="3" t="s">
        <v>20</v>
      </c>
    </row>
    <row r="45" spans="1:22" x14ac:dyDescent="0.4">
      <c r="A45" t="s">
        <v>22</v>
      </c>
      <c r="B45" t="s">
        <v>21</v>
      </c>
      <c r="C45">
        <v>4</v>
      </c>
      <c r="D45">
        <f>J45+K45+L45+M45+N45</f>
        <v>121548.56732352625</v>
      </c>
      <c r="E45">
        <v>282179.67171295901</v>
      </c>
      <c r="F45">
        <v>0.85645911177426404</v>
      </c>
      <c r="G45">
        <v>21922.670949606902</v>
      </c>
      <c r="H45">
        <v>5892.0772301955703</v>
      </c>
      <c r="I45">
        <v>5494.1642193806101</v>
      </c>
      <c r="J45">
        <v>33308.9123991831</v>
      </c>
      <c r="K45">
        <v>51194.9024604468</v>
      </c>
      <c r="L45">
        <v>16249.0415258787</v>
      </c>
      <c r="M45">
        <v>19370.512083644498</v>
      </c>
      <c r="N45">
        <v>1425.19885437316</v>
      </c>
      <c r="O45">
        <v>0</v>
      </c>
      <c r="P45">
        <f>D45+$P$1</f>
        <v>242108.23914252277</v>
      </c>
      <c r="Q45">
        <v>1168.0887035395799</v>
      </c>
      <c r="R45">
        <v>12792.663740961099</v>
      </c>
      <c r="S45">
        <v>511.70654963844697</v>
      </c>
      <c r="T45">
        <v>-0.11339056141074599</v>
      </c>
      <c r="U45">
        <v>7320.3796501147199</v>
      </c>
      <c r="V45">
        <v>51.1914660847183</v>
      </c>
    </row>
    <row r="47" spans="1:22" x14ac:dyDescent="0.4">
      <c r="A47" s="1" t="s">
        <v>27</v>
      </c>
      <c r="G47" s="4"/>
    </row>
    <row r="48" spans="1:22" x14ac:dyDescent="0.4">
      <c r="A48" s="5" t="s">
        <v>20</v>
      </c>
      <c r="B48" s="5" t="s">
        <v>23</v>
      </c>
      <c r="C48">
        <v>0</v>
      </c>
      <c r="D48">
        <f>J48+K48+L48+M48+N48</f>
        <v>117853.9906257109</v>
      </c>
      <c r="E48">
        <v>282179.67123287602</v>
      </c>
      <c r="F48">
        <v>0.84490020632262297</v>
      </c>
      <c r="G48">
        <v>23556.420831705898</v>
      </c>
      <c r="H48">
        <v>6947.4542183048998</v>
      </c>
      <c r="I48">
        <v>913.29198665996</v>
      </c>
      <c r="J48">
        <v>31417.167036670799</v>
      </c>
      <c r="K48">
        <v>50843.184005923598</v>
      </c>
      <c r="L48">
        <v>15303.798385783</v>
      </c>
      <c r="M48">
        <v>19297.5304894482</v>
      </c>
      <c r="N48">
        <v>992.31070788530405</v>
      </c>
      <c r="O48">
        <v>0</v>
      </c>
      <c r="P48">
        <f t="shared" ref="P48:P55" si="9">D48+$P$1</f>
        <v>238413.66244470741</v>
      </c>
      <c r="Q48">
        <v>1102.6552392369899</v>
      </c>
      <c r="R48">
        <v>0</v>
      </c>
      <c r="S48">
        <v>0</v>
      </c>
      <c r="T48">
        <v>0</v>
      </c>
    </row>
    <row r="49" spans="1:22" x14ac:dyDescent="0.4">
      <c r="A49" s="5" t="s">
        <v>22</v>
      </c>
      <c r="B49" s="5" t="s">
        <v>23</v>
      </c>
      <c r="C49">
        <v>0</v>
      </c>
      <c r="D49">
        <f>J49+K49+L49+M49+N49</f>
        <v>188012.7674304971</v>
      </c>
      <c r="E49">
        <v>282179.67123287602</v>
      </c>
      <c r="F49">
        <v>1.09353178385</v>
      </c>
      <c r="G49">
        <v>89520.694507565597</v>
      </c>
      <c r="H49">
        <v>6971.3813103080802</v>
      </c>
      <c r="I49">
        <v>5083.8680235841202</v>
      </c>
      <c r="J49">
        <v>101575.943841457</v>
      </c>
      <c r="K49">
        <v>50843.184005923598</v>
      </c>
      <c r="L49">
        <v>15303.798385783</v>
      </c>
      <c r="M49">
        <v>19297.5304894482</v>
      </c>
      <c r="N49">
        <v>992.31070788530405</v>
      </c>
      <c r="O49">
        <v>0</v>
      </c>
      <c r="P49">
        <f t="shared" si="9"/>
        <v>308572.43924949365</v>
      </c>
      <c r="Q49">
        <v>1106.4527933521999</v>
      </c>
      <c r="R49">
        <v>3451.9307168288801</v>
      </c>
      <c r="S49">
        <v>20.547206647791</v>
      </c>
      <c r="T49">
        <v>-14.696886263168601</v>
      </c>
    </row>
    <row r="50" spans="1:22" x14ac:dyDescent="0.4">
      <c r="A50" s="3"/>
      <c r="G50" s="4"/>
    </row>
    <row r="51" spans="1:22" x14ac:dyDescent="0.4">
      <c r="A51" t="s">
        <v>20</v>
      </c>
      <c r="B51" t="s">
        <v>21</v>
      </c>
      <c r="C51">
        <v>0</v>
      </c>
      <c r="D51">
        <f>J51+K51+L51+M51+N51</f>
        <v>118024.73030148289</v>
      </c>
      <c r="E51">
        <v>282179.67123286898</v>
      </c>
      <c r="F51">
        <v>0.845505280653571</v>
      </c>
      <c r="G51" s="4">
        <v>23683.129427060001</v>
      </c>
      <c r="H51">
        <v>6986.3695969997798</v>
      </c>
      <c r="I51">
        <v>918.40768838365295</v>
      </c>
      <c r="J51">
        <v>31587.906712443499</v>
      </c>
      <c r="K51">
        <v>50843.1840059237</v>
      </c>
      <c r="L51">
        <v>15303.7983857823</v>
      </c>
      <c r="M51">
        <v>19297.530489448101</v>
      </c>
      <c r="N51">
        <v>992.31070788530405</v>
      </c>
      <c r="O51">
        <v>0</v>
      </c>
      <c r="P51">
        <f t="shared" si="9"/>
        <v>238584.40212047941</v>
      </c>
      <c r="Q51">
        <v>1108.83163779344</v>
      </c>
      <c r="R51">
        <v>0</v>
      </c>
      <c r="S51">
        <v>230512.59606633501</v>
      </c>
      <c r="T51">
        <v>1103.3673370121001</v>
      </c>
    </row>
    <row r="52" spans="1:22" x14ac:dyDescent="0.4">
      <c r="A52" t="s">
        <v>22</v>
      </c>
      <c r="B52" t="s">
        <v>21</v>
      </c>
      <c r="C52">
        <v>0</v>
      </c>
      <c r="D52">
        <f>J52+K52+L52+M52+N52</f>
        <v>172556.33199183288</v>
      </c>
      <c r="E52">
        <v>282179.67123287701</v>
      </c>
      <c r="F52">
        <v>1.03875662810921</v>
      </c>
      <c r="G52">
        <v>73514.1870928641</v>
      </c>
      <c r="H52">
        <v>7482.8438362204697</v>
      </c>
      <c r="I52">
        <v>4044.9309872213798</v>
      </c>
      <c r="J52">
        <v>85041.961916305998</v>
      </c>
      <c r="K52">
        <v>51119.832654572398</v>
      </c>
      <c r="L52">
        <v>16047.2916290263</v>
      </c>
      <c r="M52">
        <v>19354.9350840429</v>
      </c>
      <c r="N52">
        <v>992.31070788530405</v>
      </c>
      <c r="O52">
        <v>0</v>
      </c>
      <c r="P52">
        <f t="shared" si="9"/>
        <v>293116.00381082937</v>
      </c>
      <c r="Q52">
        <v>1187.62883512946</v>
      </c>
      <c r="R52">
        <v>9393.8913494494009</v>
      </c>
      <c r="S52">
        <v>260.94142637359403</v>
      </c>
      <c r="T52">
        <v>-3.6405201993767098</v>
      </c>
    </row>
    <row r="53" spans="1:22" x14ac:dyDescent="0.4">
      <c r="G53" s="4"/>
    </row>
    <row r="54" spans="1:22" x14ac:dyDescent="0.4">
      <c r="A54" s="3" t="s">
        <v>20</v>
      </c>
      <c r="B54" t="s">
        <v>21</v>
      </c>
      <c r="C54">
        <v>4</v>
      </c>
      <c r="D54">
        <f>J54+K54+L54+M54+N54</f>
        <v>117826.0601945299</v>
      </c>
      <c r="E54">
        <v>282179.67123287602</v>
      </c>
      <c r="F54">
        <v>0.84480122530439805</v>
      </c>
      <c r="G54" s="4">
        <v>23535.478746437901</v>
      </c>
      <c r="H54">
        <v>6941.2778055266899</v>
      </c>
      <c r="I54">
        <v>912.48005352310201</v>
      </c>
      <c r="J54">
        <v>31389.236605487698</v>
      </c>
      <c r="K54">
        <v>50843.184005923998</v>
      </c>
      <c r="L54">
        <v>15303.798385784499</v>
      </c>
      <c r="M54">
        <v>19297.5304894484</v>
      </c>
      <c r="N54">
        <v>992.31070788530405</v>
      </c>
      <c r="O54">
        <v>0</v>
      </c>
      <c r="P54">
        <f t="shared" si="9"/>
        <v>238385.73201352643</v>
      </c>
      <c r="Q54">
        <v>0</v>
      </c>
      <c r="R54">
        <v>0</v>
      </c>
      <c r="S54">
        <v>0</v>
      </c>
      <c r="T54">
        <v>0</v>
      </c>
    </row>
    <row r="55" spans="1:22" x14ac:dyDescent="0.4">
      <c r="A55" t="s">
        <v>22</v>
      </c>
      <c r="B55" t="s">
        <v>21</v>
      </c>
      <c r="C55">
        <v>4</v>
      </c>
      <c r="D55">
        <f>J55+K55+L55+M55+N55</f>
        <v>125434.46212050831</v>
      </c>
      <c r="E55">
        <v>282179.67123444699</v>
      </c>
      <c r="F55">
        <v>0.87159189967643702</v>
      </c>
      <c r="G55" s="4">
        <v>21072.189860718699</v>
      </c>
      <c r="H55">
        <v>9188.7245080883695</v>
      </c>
      <c r="I55">
        <v>2618.8827210474601</v>
      </c>
      <c r="J55">
        <v>32879.797089854597</v>
      </c>
      <c r="K55">
        <v>50904.118537438801</v>
      </c>
      <c r="L55">
        <v>20591.7266090095</v>
      </c>
      <c r="M55">
        <v>20017.890938119701</v>
      </c>
      <c r="N55">
        <v>1040.9289460857101</v>
      </c>
      <c r="O55">
        <v>0</v>
      </c>
      <c r="P55">
        <f t="shared" si="9"/>
        <v>245994.13393950483</v>
      </c>
      <c r="Q55">
        <v>1458.3752411216699</v>
      </c>
      <c r="R55">
        <v>35012.612233571497</v>
      </c>
      <c r="S55">
        <v>875.31530583928895</v>
      </c>
      <c r="T55">
        <v>0.51444695802960605</v>
      </c>
    </row>
    <row r="57" spans="1:22" x14ac:dyDescent="0.4">
      <c r="A57" s="1" t="s">
        <v>30</v>
      </c>
      <c r="G57" s="4"/>
    </row>
    <row r="58" spans="1:22" x14ac:dyDescent="0.4">
      <c r="A58" s="2" t="s">
        <v>22</v>
      </c>
      <c r="B58" s="2" t="s">
        <v>25</v>
      </c>
      <c r="C58">
        <v>2</v>
      </c>
      <c r="D58">
        <f>J58+K58+L58+M58+N58</f>
        <v>119635.09208261623</v>
      </c>
      <c r="E58">
        <v>282495</v>
      </c>
      <c r="F58">
        <v>0.83903831831993503</v>
      </c>
      <c r="G58" s="4">
        <v>20221.889710343999</v>
      </c>
      <c r="H58">
        <v>6553.7440767980397</v>
      </c>
      <c r="I58">
        <v>6160.4249909476703</v>
      </c>
      <c r="J58">
        <v>32936.058778089697</v>
      </c>
      <c r="K58">
        <v>50939.5611113743</v>
      </c>
      <c r="L58">
        <v>15427.2204868183</v>
      </c>
      <c r="M58">
        <v>19327.3039306102</v>
      </c>
      <c r="N58">
        <v>1004.9477757237401</v>
      </c>
      <c r="O58">
        <v>3157.9970999842499</v>
      </c>
      <c r="P58">
        <f t="shared" ref="P58:P59" si="10">D58+$P$1</f>
        <v>240194.76390161275</v>
      </c>
      <c r="Q58">
        <v>1464.2687322859999</v>
      </c>
      <c r="R58">
        <v>8672.9882445954008</v>
      </c>
      <c r="S58">
        <v>346.91952978381602</v>
      </c>
      <c r="T58">
        <v>2.4302910949698302</v>
      </c>
    </row>
    <row r="59" spans="1:22" x14ac:dyDescent="0.4">
      <c r="A59" s="3" t="s">
        <v>22</v>
      </c>
      <c r="B59" s="3" t="s">
        <v>25</v>
      </c>
      <c r="C59">
        <v>4</v>
      </c>
      <c r="D59">
        <f>J59+K59+L59+M59+N59-O59</f>
        <v>109562.97527837555</v>
      </c>
      <c r="E59">
        <v>282179.67123287602</v>
      </c>
      <c r="F59">
        <v>0.81689091571482797</v>
      </c>
      <c r="G59" s="4">
        <v>20285.098342207999</v>
      </c>
      <c r="H59">
        <v>6552.6722224723899</v>
      </c>
      <c r="I59">
        <v>6068.9240568166097</v>
      </c>
      <c r="J59">
        <v>32906.694621497001</v>
      </c>
      <c r="K59">
        <v>50843.184005923598</v>
      </c>
      <c r="L59">
        <v>16378.7983857829</v>
      </c>
      <c r="M59">
        <v>19449.350489448301</v>
      </c>
      <c r="N59">
        <v>1004.9477757237401</v>
      </c>
      <c r="O59">
        <f>1102*5*2</f>
        <v>11020</v>
      </c>
      <c r="P59">
        <f>D59+$P$1</f>
        <v>230122.64709737207</v>
      </c>
      <c r="Q59">
        <v>1464.02925348484</v>
      </c>
      <c r="R59">
        <v>26064.489084194902</v>
      </c>
      <c r="S59">
        <v>407.257641940545</v>
      </c>
      <c r="T59">
        <v>1.09609872121186</v>
      </c>
    </row>
    <row r="60" spans="1:22" x14ac:dyDescent="0.4">
      <c r="G60" s="4"/>
    </row>
    <row r="61" spans="1:22" x14ac:dyDescent="0.4">
      <c r="A61" s="1" t="s">
        <v>42</v>
      </c>
      <c r="G61" s="4"/>
    </row>
    <row r="62" spans="1:22" x14ac:dyDescent="0.4">
      <c r="A62" s="3" t="s">
        <v>20</v>
      </c>
      <c r="B62" s="3" t="s">
        <v>23</v>
      </c>
      <c r="C62" s="3">
        <v>0</v>
      </c>
      <c r="G62" s="4"/>
    </row>
    <row r="63" spans="1:22" x14ac:dyDescent="0.4">
      <c r="A63" t="s">
        <v>22</v>
      </c>
      <c r="B63" t="s">
        <v>23</v>
      </c>
      <c r="C63">
        <v>0</v>
      </c>
      <c r="D63">
        <f>J63+K63+L63+M63+N63-O63</f>
        <v>125093.23428318274</v>
      </c>
      <c r="E63">
        <v>282190.859999999</v>
      </c>
      <c r="F63">
        <v>0.86904083066499505</v>
      </c>
      <c r="G63">
        <v>24203.497764766002</v>
      </c>
      <c r="H63">
        <v>4932.7238161263904</v>
      </c>
      <c r="I63">
        <v>9098.5748223234004</v>
      </c>
      <c r="J63">
        <v>38234.796403215798</v>
      </c>
      <c r="K63">
        <v>50845.200000000099</v>
      </c>
      <c r="L63">
        <v>15304.405199999899</v>
      </c>
      <c r="M63">
        <v>19298.29566</v>
      </c>
      <c r="N63">
        <v>1409.83742959549</v>
      </c>
      <c r="O63">
        <v>-0.69959037146548997</v>
      </c>
      <c r="P63">
        <f>D63+$P$1</f>
        <v>245652.90610217926</v>
      </c>
      <c r="Q63">
        <v>1102.0926609763501</v>
      </c>
      <c r="R63">
        <v>0</v>
      </c>
      <c r="U63">
        <v>15.5670440273115</v>
      </c>
      <c r="V63">
        <v>9.2660976353045002E-2</v>
      </c>
    </row>
    <row r="64" spans="1:22" x14ac:dyDescent="0.4">
      <c r="A64" s="3"/>
      <c r="B64" s="3"/>
      <c r="C64" s="3"/>
      <c r="G64" s="4"/>
    </row>
    <row r="65" spans="1:22" x14ac:dyDescent="0.4">
      <c r="A65" s="3" t="s">
        <v>20</v>
      </c>
      <c r="B65" s="3" t="s">
        <v>21</v>
      </c>
      <c r="C65" s="3">
        <v>4</v>
      </c>
      <c r="G65" s="4"/>
    </row>
    <row r="66" spans="1:22" x14ac:dyDescent="0.4">
      <c r="A66" s="3" t="s">
        <v>22</v>
      </c>
      <c r="B66" s="3" t="s">
        <v>21</v>
      </c>
      <c r="C66" s="3">
        <v>4</v>
      </c>
    </row>
    <row r="67" spans="1:22" x14ac:dyDescent="0.4">
      <c r="A67" s="5"/>
      <c r="B67" s="5"/>
    </row>
    <row r="68" spans="1:22" x14ac:dyDescent="0.4">
      <c r="A68" s="1" t="s">
        <v>31</v>
      </c>
    </row>
    <row r="69" spans="1:22" x14ac:dyDescent="0.4">
      <c r="A69" s="3" t="s">
        <v>20</v>
      </c>
      <c r="B69" s="3" t="s">
        <v>23</v>
      </c>
      <c r="C69">
        <v>0</v>
      </c>
      <c r="D69">
        <f>J69+K69+L69+M69+N69</f>
        <v>116023.2890300647</v>
      </c>
      <c r="E69">
        <v>282179.67123287602</v>
      </c>
      <c r="F69">
        <v>0.83841249022441</v>
      </c>
      <c r="G69">
        <v>20114.092712805999</v>
      </c>
      <c r="H69">
        <v>6942.2846600808298</v>
      </c>
      <c r="I69">
        <v>2530.0880681377598</v>
      </c>
      <c r="J69">
        <v>29586.4654410246</v>
      </c>
      <c r="K69">
        <v>50843.184005923598</v>
      </c>
      <c r="L69">
        <v>15303.798385783</v>
      </c>
      <c r="M69">
        <v>19297.5304894482</v>
      </c>
      <c r="N69">
        <v>992.31070788530405</v>
      </c>
      <c r="O69">
        <v>0</v>
      </c>
      <c r="P69">
        <f t="shared" ref="P69:P70" si="11">D69+$P$1</f>
        <v>236582.9608490612</v>
      </c>
      <c r="Q69">
        <v>1101.8347602124099</v>
      </c>
      <c r="R69">
        <v>0</v>
      </c>
      <c r="S69">
        <v>0</v>
      </c>
      <c r="T69">
        <v>0</v>
      </c>
    </row>
    <row r="70" spans="1:22" x14ac:dyDescent="0.4">
      <c r="A70" s="3" t="s">
        <v>22</v>
      </c>
      <c r="B70" s="3" t="s">
        <v>23</v>
      </c>
      <c r="C70">
        <v>0</v>
      </c>
      <c r="D70">
        <f>J70+K70+L70+M70+N70</f>
        <v>125763.55741733511</v>
      </c>
      <c r="E70">
        <v>282179.67125180899</v>
      </c>
      <c r="F70">
        <v>0.87293045648394496</v>
      </c>
      <c r="G70">
        <v>22626.697961956499</v>
      </c>
      <c r="H70">
        <v>7102.5767129513297</v>
      </c>
      <c r="I70">
        <v>9597.4591384874802</v>
      </c>
      <c r="J70">
        <v>39326.733813395302</v>
      </c>
      <c r="K70">
        <v>50843.184011688398</v>
      </c>
      <c r="L70">
        <v>15303.798393134501</v>
      </c>
      <c r="M70">
        <v>19297.530491231599</v>
      </c>
      <c r="N70">
        <v>992.31070788530405</v>
      </c>
      <c r="O70">
        <v>0</v>
      </c>
      <c r="P70">
        <f t="shared" si="11"/>
        <v>246323.22923633162</v>
      </c>
      <c r="Q70">
        <v>1127.27501714903</v>
      </c>
      <c r="R70">
        <v>0</v>
      </c>
      <c r="S70">
        <v>0</v>
      </c>
      <c r="T70">
        <v>0</v>
      </c>
    </row>
    <row r="71" spans="1:22" x14ac:dyDescent="0.4">
      <c r="A71" s="1"/>
    </row>
    <row r="72" spans="1:22" x14ac:dyDescent="0.4">
      <c r="A72" t="s">
        <v>20</v>
      </c>
      <c r="B72" t="s">
        <v>21</v>
      </c>
      <c r="C72">
        <v>2</v>
      </c>
      <c r="D72">
        <f>J72+K72+L72+M72+N72</f>
        <v>116706.4157905087</v>
      </c>
      <c r="E72">
        <v>282179.67125387199</v>
      </c>
      <c r="F72">
        <v>0.840833383054163</v>
      </c>
      <c r="G72" s="4">
        <v>20578.507216446698</v>
      </c>
      <c r="H72">
        <v>7102.57515066207</v>
      </c>
      <c r="I72">
        <v>2588.5052959285099</v>
      </c>
      <c r="J72">
        <v>30269.587663037299</v>
      </c>
      <c r="K72">
        <v>50843.185173268597</v>
      </c>
      <c r="L72">
        <v>15303.8015139941</v>
      </c>
      <c r="M72">
        <v>19297.530732323401</v>
      </c>
      <c r="N72">
        <v>992.31070788530405</v>
      </c>
      <c r="O72">
        <v>0</v>
      </c>
      <c r="P72">
        <f t="shared" ref="P72:P73" si="12">D72+$P$1</f>
        <v>237266.08760950522</v>
      </c>
      <c r="Q72">
        <v>1127.2750356983099</v>
      </c>
      <c r="R72">
        <v>0</v>
      </c>
    </row>
    <row r="73" spans="1:22" x14ac:dyDescent="0.4">
      <c r="A73" s="2" t="s">
        <v>22</v>
      </c>
      <c r="B73" s="2" t="s">
        <v>21</v>
      </c>
      <c r="C73">
        <v>2</v>
      </c>
      <c r="D73">
        <f>J73+K73+L73+M73+N73</f>
        <v>121633.35860365373</v>
      </c>
      <c r="E73">
        <v>282179.67123287602</v>
      </c>
      <c r="F73">
        <v>0.85824890324911396</v>
      </c>
      <c r="G73" s="4">
        <v>20824.7129679639</v>
      </c>
      <c r="H73">
        <v>7456.39074483072</v>
      </c>
      <c r="I73">
        <v>5114.4587365303096</v>
      </c>
      <c r="J73">
        <v>33395.562449324898</v>
      </c>
      <c r="K73">
        <v>51302.320205525801</v>
      </c>
      <c r="L73">
        <v>16537.7269222135</v>
      </c>
      <c r="M73">
        <v>19392.801250865799</v>
      </c>
      <c r="N73">
        <v>1004.9477757237401</v>
      </c>
      <c r="O73">
        <v>0</v>
      </c>
      <c r="P73">
        <f t="shared" si="12"/>
        <v>242193.03042265025</v>
      </c>
      <c r="Q73">
        <v>1183.4303612998101</v>
      </c>
      <c r="R73">
        <v>15931.1957490451</v>
      </c>
      <c r="S73">
        <v>346.33034237054602</v>
      </c>
      <c r="T73">
        <v>1.0959871186973</v>
      </c>
    </row>
    <row r="75" spans="1:22" x14ac:dyDescent="0.4">
      <c r="A75" t="s">
        <v>20</v>
      </c>
      <c r="B75" t="s">
        <v>21</v>
      </c>
      <c r="C75">
        <v>4</v>
      </c>
      <c r="D75">
        <f>J75+K75+L75+M75+N75</f>
        <v>116706.4157905051</v>
      </c>
      <c r="E75">
        <v>282179.671253876</v>
      </c>
      <c r="F75">
        <v>0.84083338305413902</v>
      </c>
      <c r="G75" s="4">
        <v>20578.5072164468</v>
      </c>
      <c r="H75">
        <v>7102.5751506616798</v>
      </c>
      <c r="I75">
        <v>2588.50529592865</v>
      </c>
      <c r="J75">
        <v>30269.587663037099</v>
      </c>
      <c r="K75">
        <v>50843.185173268197</v>
      </c>
      <c r="L75">
        <v>15303.8015139912</v>
      </c>
      <c r="M75">
        <v>19297.530732323299</v>
      </c>
      <c r="N75">
        <v>992.31070788530405</v>
      </c>
      <c r="O75">
        <v>0</v>
      </c>
      <c r="P75">
        <f t="shared" ref="P75:P76" si="13">D75+$P$1</f>
        <v>237266.08760950161</v>
      </c>
      <c r="Q75">
        <v>1127.2750356983499</v>
      </c>
      <c r="R75">
        <v>0</v>
      </c>
    </row>
    <row r="76" spans="1:22" x14ac:dyDescent="0.4">
      <c r="A76" t="s">
        <v>22</v>
      </c>
      <c r="B76" t="s">
        <v>21</v>
      </c>
      <c r="C76">
        <v>4</v>
      </c>
      <c r="D76">
        <f>J76+K76+L76+M76+N76</f>
        <v>121744.79706913032</v>
      </c>
      <c r="E76">
        <v>282179.88376308198</v>
      </c>
      <c r="F76">
        <v>0.85713546401894802</v>
      </c>
      <c r="G76">
        <v>21291.5607898614</v>
      </c>
      <c r="H76">
        <v>7432.3603175362596</v>
      </c>
      <c r="I76">
        <v>5035.2758648834497</v>
      </c>
      <c r="J76">
        <v>33759.196972281097</v>
      </c>
      <c r="K76">
        <v>51128.3645002267</v>
      </c>
      <c r="L76">
        <v>16070.129576240101</v>
      </c>
      <c r="M76">
        <v>19356.7120304526</v>
      </c>
      <c r="N76">
        <v>1430.39398992981</v>
      </c>
      <c r="O76">
        <v>0</v>
      </c>
      <c r="P76">
        <f t="shared" si="13"/>
        <v>242304.46888812684</v>
      </c>
      <c r="Q76">
        <v>1179.61640190856</v>
      </c>
      <c r="R76">
        <v>13411.4010346792</v>
      </c>
      <c r="S76">
        <v>478.97860838140201</v>
      </c>
      <c r="T76">
        <v>0.22564405635506199</v>
      </c>
      <c r="U76">
        <v>10550.3210016294</v>
      </c>
      <c r="V76">
        <v>75.359435725924598</v>
      </c>
    </row>
    <row r="78" spans="1:22" x14ac:dyDescent="0.4">
      <c r="A78" s="1" t="s">
        <v>34</v>
      </c>
      <c r="G78" s="4"/>
    </row>
    <row r="79" spans="1:22" x14ac:dyDescent="0.4">
      <c r="A79" t="s">
        <v>22</v>
      </c>
      <c r="B79" t="s">
        <v>21</v>
      </c>
      <c r="C79">
        <v>4</v>
      </c>
      <c r="D79">
        <f>J79+K79+L79+M79+N79</f>
        <v>147118.48206815872</v>
      </c>
      <c r="E79">
        <v>355610.364944759</v>
      </c>
      <c r="F79">
        <v>0.75267772890587503</v>
      </c>
      <c r="G79">
        <v>25765.651662743599</v>
      </c>
      <c r="H79">
        <v>7150.9042815892099</v>
      </c>
      <c r="I79">
        <v>5144.3184852884797</v>
      </c>
      <c r="J79">
        <v>38060.874429621297</v>
      </c>
      <c r="K79">
        <v>64168.339029134899</v>
      </c>
      <c r="L79">
        <v>19539.954214541001</v>
      </c>
      <c r="M79">
        <v>24338.851661831999</v>
      </c>
      <c r="N79">
        <v>1010.46273302954</v>
      </c>
      <c r="O79">
        <v>0</v>
      </c>
      <c r="P79">
        <f t="shared" ref="P79" si="14">D79+$P$1</f>
        <v>267678.15388715523</v>
      </c>
      <c r="Q79">
        <v>1597.68911089628</v>
      </c>
      <c r="R79">
        <v>13084.0423994256</v>
      </c>
      <c r="S79">
        <v>467.28722855091399</v>
      </c>
      <c r="T79">
        <v>-0.25904927491985202</v>
      </c>
    </row>
    <row r="80" spans="1:22" x14ac:dyDescent="0.4">
      <c r="A80" t="s">
        <v>22</v>
      </c>
      <c r="B80" t="s">
        <v>35</v>
      </c>
      <c r="C80" t="s">
        <v>35</v>
      </c>
      <c r="D80" t="s">
        <v>36</v>
      </c>
      <c r="E80" t="s">
        <v>36</v>
      </c>
      <c r="F80" t="s">
        <v>36</v>
      </c>
      <c r="G80" s="4">
        <v>28838</v>
      </c>
      <c r="H80">
        <v>7567.5</v>
      </c>
      <c r="I80">
        <v>13764.1</v>
      </c>
      <c r="J80">
        <v>50169.7</v>
      </c>
      <c r="K80" t="s">
        <v>36</v>
      </c>
      <c r="L80" t="s">
        <v>36</v>
      </c>
      <c r="M80" t="s">
        <v>36</v>
      </c>
      <c r="N80" t="s">
        <v>36</v>
      </c>
    </row>
    <row r="82" spans="1:20" hidden="1" x14ac:dyDescent="0.4">
      <c r="A82" s="1" t="s">
        <v>26</v>
      </c>
      <c r="G82" s="4"/>
      <c r="P82" t="s">
        <v>15</v>
      </c>
      <c r="Q82" t="s">
        <v>16</v>
      </c>
      <c r="R82" t="s">
        <v>17</v>
      </c>
      <c r="S82" t="s">
        <v>18</v>
      </c>
      <c r="T82" t="s">
        <v>19</v>
      </c>
    </row>
    <row r="83" spans="1:20" hidden="1" x14ac:dyDescent="0.4">
      <c r="A83" t="s">
        <v>0</v>
      </c>
      <c r="B83" t="s">
        <v>1</v>
      </c>
      <c r="C83" t="s">
        <v>2</v>
      </c>
      <c r="D83" t="s">
        <v>3</v>
      </c>
      <c r="E83" t="s">
        <v>4</v>
      </c>
      <c r="F83" t="s">
        <v>5</v>
      </c>
      <c r="G83" s="4" t="s">
        <v>6</v>
      </c>
      <c r="H83" t="s">
        <v>7</v>
      </c>
      <c r="I83" t="s">
        <v>8</v>
      </c>
      <c r="J83" t="s">
        <v>9</v>
      </c>
      <c r="K83" t="s">
        <v>10</v>
      </c>
      <c r="L83" t="s">
        <v>11</v>
      </c>
      <c r="M83" t="s">
        <v>12</v>
      </c>
      <c r="N83" t="s">
        <v>13</v>
      </c>
      <c r="O83" t="s">
        <v>14</v>
      </c>
      <c r="P83">
        <v>63734.6679</v>
      </c>
      <c r="Q83">
        <v>1078.4492829999999</v>
      </c>
      <c r="R83">
        <v>624.70352849999995</v>
      </c>
      <c r="S83">
        <v>13.014656840000001</v>
      </c>
      <c r="T83">
        <v>27.514184579999998</v>
      </c>
    </row>
    <row r="84" spans="1:20" hidden="1" x14ac:dyDescent="0.4">
      <c r="A84" s="2" t="s">
        <v>20</v>
      </c>
      <c r="B84" t="s">
        <v>21</v>
      </c>
      <c r="C84">
        <v>4</v>
      </c>
      <c r="D84">
        <v>29525.427309999999</v>
      </c>
      <c r="E84">
        <v>80391.755990000005</v>
      </c>
      <c r="F84">
        <v>0.79280104200000001</v>
      </c>
      <c r="G84" s="4">
        <v>5050.6365619999997</v>
      </c>
      <c r="H84">
        <v>4678.3390820000004</v>
      </c>
      <c r="I84">
        <v>2508.6600360000002</v>
      </c>
      <c r="J84">
        <v>12237.635679999999</v>
      </c>
      <c r="K84">
        <v>13920</v>
      </c>
      <c r="L84">
        <v>2841.544922</v>
      </c>
      <c r="M84">
        <v>5380.5444360000001</v>
      </c>
      <c r="N84">
        <v>279.27307350000001</v>
      </c>
      <c r="O84">
        <v>0</v>
      </c>
      <c r="P84">
        <v>64865.028310000002</v>
      </c>
      <c r="Q84">
        <v>1191.7509680000001</v>
      </c>
      <c r="R84">
        <v>7243.7162129999997</v>
      </c>
      <c r="S84">
        <v>452.7322633</v>
      </c>
      <c r="T84">
        <v>5.8154128590000003</v>
      </c>
    </row>
    <row r="85" spans="1:20" x14ac:dyDescent="0.4">
      <c r="A85" s="7" t="s">
        <v>37</v>
      </c>
    </row>
    <row r="87" spans="1:20" x14ac:dyDescent="0.4">
      <c r="A87" t="s">
        <v>32</v>
      </c>
      <c r="B87" t="s">
        <v>33</v>
      </c>
      <c r="C87" t="s">
        <v>2</v>
      </c>
    </row>
    <row r="88" spans="1:20" x14ac:dyDescent="0.4">
      <c r="A88">
        <v>20</v>
      </c>
      <c r="B88">
        <v>60</v>
      </c>
      <c r="C88">
        <v>2</v>
      </c>
      <c r="D88">
        <f t="shared" ref="D88:D94" si="15">J88+K88+L88+M88+N88</f>
        <v>120712.69088313227</v>
      </c>
      <c r="E88">
        <v>282179.67123285501</v>
      </c>
      <c r="F88">
        <v>0.854946898908852</v>
      </c>
      <c r="G88">
        <v>18681.222424938602</v>
      </c>
      <c r="H88">
        <v>5354.6114985546601</v>
      </c>
      <c r="I88">
        <v>8156.08309050551</v>
      </c>
      <c r="J88">
        <v>32191.917013998798</v>
      </c>
      <c r="K88">
        <v>51372.124296964801</v>
      </c>
      <c r="L88">
        <v>16725.325417965501</v>
      </c>
      <c r="M88">
        <v>19407.285599838699</v>
      </c>
      <c r="N88">
        <v>1016.03855436447</v>
      </c>
      <c r="O88">
        <v>0</v>
      </c>
      <c r="P88">
        <f t="shared" ref="P88:P94" si="16">D88+$P$1</f>
        <v>241272.36270212877</v>
      </c>
      <c r="Q88">
        <v>1192.7637589594799</v>
      </c>
      <c r="R88">
        <v>19736.206339365101</v>
      </c>
      <c r="S88">
        <v>481.37088632597801</v>
      </c>
      <c r="T88" s="6">
        <v>0.12591688076390301</v>
      </c>
    </row>
    <row r="89" spans="1:20" x14ac:dyDescent="0.4">
      <c r="A89">
        <v>20</v>
      </c>
      <c r="B89">
        <v>50</v>
      </c>
      <c r="C89">
        <v>2</v>
      </c>
      <c r="D89">
        <f t="shared" si="15"/>
        <v>119392.42354269064</v>
      </c>
      <c r="E89">
        <v>282254.81855225202</v>
      </c>
      <c r="F89">
        <v>0.85006146065890897</v>
      </c>
      <c r="G89">
        <v>19407.840072768398</v>
      </c>
      <c r="H89">
        <v>5891.8301217549197</v>
      </c>
      <c r="I89">
        <v>6659.4942697455399</v>
      </c>
      <c r="J89">
        <v>31959.164464268899</v>
      </c>
      <c r="K89">
        <v>51102.045942938203</v>
      </c>
      <c r="L89">
        <v>15967.176494174801</v>
      </c>
      <c r="M89">
        <v>19353.573908279199</v>
      </c>
      <c r="N89">
        <v>1010.46273302954</v>
      </c>
      <c r="O89">
        <v>0</v>
      </c>
      <c r="P89">
        <f t="shared" si="16"/>
        <v>239952.09536168716</v>
      </c>
      <c r="Q89">
        <v>1312.43161993582</v>
      </c>
      <c r="R89">
        <v>18377.616631847999</v>
      </c>
      <c r="S89">
        <v>459.4404157962</v>
      </c>
      <c r="T89" s="6">
        <v>0.14758705239613301</v>
      </c>
    </row>
    <row r="90" spans="1:20" x14ac:dyDescent="0.4">
      <c r="A90">
        <v>20</v>
      </c>
      <c r="B90">
        <v>40</v>
      </c>
      <c r="C90">
        <v>2</v>
      </c>
      <c r="D90">
        <f t="shared" si="15"/>
        <v>117777.02945340994</v>
      </c>
      <c r="E90">
        <v>282179.67123287299</v>
      </c>
      <c r="F90">
        <v>0.84456314023622803</v>
      </c>
      <c r="G90">
        <v>19298.245593088301</v>
      </c>
      <c r="H90">
        <v>5682.0016560700296</v>
      </c>
      <c r="I90">
        <v>5350.3346939491703</v>
      </c>
      <c r="J90">
        <v>30330.5819431075</v>
      </c>
      <c r="K90">
        <v>51097.733915068202</v>
      </c>
      <c r="L90">
        <v>15987.901266609</v>
      </c>
      <c r="M90">
        <v>19350.349595595701</v>
      </c>
      <c r="N90">
        <v>1010.46273302954</v>
      </c>
      <c r="O90">
        <v>0</v>
      </c>
      <c r="P90">
        <f t="shared" si="16"/>
        <v>238336.70127240644</v>
      </c>
      <c r="Q90">
        <v>1265.6913868611</v>
      </c>
      <c r="R90">
        <v>17746.163883660702</v>
      </c>
      <c r="S90">
        <v>507.03325381887902</v>
      </c>
      <c r="T90" s="6">
        <v>-0.25983751983286502</v>
      </c>
    </row>
    <row r="91" spans="1:20" x14ac:dyDescent="0.4">
      <c r="A91">
        <v>20</v>
      </c>
      <c r="B91">
        <v>30</v>
      </c>
      <c r="C91">
        <v>2</v>
      </c>
      <c r="D91">
        <f t="shared" si="15"/>
        <v>116625.1695160947</v>
      </c>
      <c r="E91">
        <v>282182.50548365602</v>
      </c>
      <c r="F91">
        <v>0.84045954058697003</v>
      </c>
      <c r="G91">
        <v>19302.752565837702</v>
      </c>
      <c r="H91">
        <v>6226.5181629292701</v>
      </c>
      <c r="I91">
        <v>3974.5318253822402</v>
      </c>
      <c r="J91">
        <v>29503.802554149199</v>
      </c>
      <c r="K91">
        <v>51013.610661725899</v>
      </c>
      <c r="L91">
        <v>15760.601295416</v>
      </c>
      <c r="M91">
        <v>19332.981882301501</v>
      </c>
      <c r="N91">
        <v>1014.17312250211</v>
      </c>
      <c r="O91">
        <v>0</v>
      </c>
      <c r="P91">
        <f t="shared" si="16"/>
        <v>237184.84133509122</v>
      </c>
      <c r="Q91">
        <v>1386.9848841974899</v>
      </c>
      <c r="R91">
        <v>18436.445202769701</v>
      </c>
      <c r="S91">
        <v>209.50505912238299</v>
      </c>
      <c r="T91" s="6">
        <v>0.28049716262959101</v>
      </c>
    </row>
    <row r="92" spans="1:20" x14ac:dyDescent="0.4">
      <c r="A92" s="3">
        <v>20</v>
      </c>
      <c r="B92" s="3">
        <v>20</v>
      </c>
      <c r="C92" s="3">
        <v>2</v>
      </c>
      <c r="D92">
        <f t="shared" si="15"/>
        <v>115198.459983006</v>
      </c>
      <c r="E92">
        <v>282179.67123297497</v>
      </c>
      <c r="F92">
        <v>0.83541194997266699</v>
      </c>
      <c r="G92">
        <v>19351.2255529412</v>
      </c>
      <c r="H92">
        <v>6002.0469674603501</v>
      </c>
      <c r="I92">
        <v>2645.4376652921501</v>
      </c>
      <c r="J92">
        <v>27998.710185693701</v>
      </c>
      <c r="K92">
        <v>51033.4442867088</v>
      </c>
      <c r="L92">
        <v>15815.1228903871</v>
      </c>
      <c r="M92">
        <v>19337.009497714302</v>
      </c>
      <c r="N92">
        <v>1014.17312250211</v>
      </c>
      <c r="O92">
        <v>0</v>
      </c>
      <c r="P92">
        <f t="shared" si="16"/>
        <v>235758.13180200252</v>
      </c>
      <c r="Q92">
        <v>1336.98290493166</v>
      </c>
      <c r="R92">
        <v>18577.307877855899</v>
      </c>
      <c r="S92">
        <v>432.030415764091</v>
      </c>
      <c r="T92" s="6">
        <v>-0.122490141098651</v>
      </c>
    </row>
    <row r="93" spans="1:20" x14ac:dyDescent="0.4">
      <c r="A93">
        <v>20</v>
      </c>
      <c r="B93">
        <v>15</v>
      </c>
      <c r="C93">
        <v>2</v>
      </c>
      <c r="D93">
        <f t="shared" si="15"/>
        <v>114451.25872361983</v>
      </c>
      <c r="E93">
        <v>282179.67123267101</v>
      </c>
      <c r="F93">
        <v>0.83277713625127903</v>
      </c>
      <c r="G93">
        <v>19390.977969205</v>
      </c>
      <c r="H93">
        <v>5599.5405456203798</v>
      </c>
      <c r="I93">
        <v>2128.1287863747102</v>
      </c>
      <c r="J93">
        <v>27118.647301200101</v>
      </c>
      <c r="K93">
        <v>51068.507704320902</v>
      </c>
      <c r="L93">
        <v>15909.3558282099</v>
      </c>
      <c r="M93">
        <v>19344.285156859401</v>
      </c>
      <c r="N93">
        <v>1010.46273302954</v>
      </c>
      <c r="O93">
        <v>0</v>
      </c>
      <c r="P93">
        <f t="shared" si="16"/>
        <v>235010.93054261635</v>
      </c>
      <c r="Q93">
        <v>1247.3228025527501</v>
      </c>
      <c r="R93">
        <v>16417.502561416801</v>
      </c>
      <c r="S93">
        <v>469.07150175476602</v>
      </c>
      <c r="T93" s="6">
        <v>0.46004655114715598</v>
      </c>
    </row>
    <row r="94" spans="1:20" x14ac:dyDescent="0.4">
      <c r="A94">
        <v>20</v>
      </c>
      <c r="B94">
        <v>12</v>
      </c>
      <c r="C94">
        <v>2</v>
      </c>
      <c r="D94">
        <f t="shared" si="15"/>
        <v>114787.7594081375</v>
      </c>
      <c r="E94">
        <v>282179.67123287602</v>
      </c>
      <c r="F94">
        <v>0.83403396920434802</v>
      </c>
      <c r="G94">
        <v>20436.472361711199</v>
      </c>
      <c r="H94">
        <v>4946.5396722567002</v>
      </c>
      <c r="I94">
        <v>2967.9237851293901</v>
      </c>
      <c r="J94">
        <v>28350.9358190973</v>
      </c>
      <c r="K94">
        <v>50843.184005923598</v>
      </c>
      <c r="L94">
        <v>15303.798385783</v>
      </c>
      <c r="M94">
        <v>19297.530489448302</v>
      </c>
      <c r="N94">
        <v>992.31070788530405</v>
      </c>
      <c r="O94">
        <v>0</v>
      </c>
      <c r="P94">
        <f t="shared" si="16"/>
        <v>235347.43122713402</v>
      </c>
      <c r="Q94">
        <v>1101.8639118583401</v>
      </c>
      <c r="R94">
        <v>13.380488321454299</v>
      </c>
      <c r="S94">
        <v>2.67609766429086</v>
      </c>
      <c r="T94" s="6">
        <v>-198.021555533488</v>
      </c>
    </row>
  </sheetData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2026-07-21T20:16:20Z</dcterms:modified>
</cp:coreProperties>
</file>