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rchurchi\watertap\tutorials\flex_ro\annual analysis\"/>
    </mc:Choice>
  </mc:AlternateContent>
  <xr:revisionPtr revIDLastSave="0" documentId="13_ncr:1_{8A942D8E-0C0F-4115-9E5C-464FB2E56ED3}" xr6:coauthVersionLast="47" xr6:coauthVersionMax="47" xr10:uidLastSave="{00000000-0000-0000-0000-000000000000}"/>
  <bookViews>
    <workbookView xWindow="57480" yWindow="843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7" i="1"/>
  <c r="E8" i="1"/>
  <c r="E9" i="1"/>
  <c r="E10" i="1"/>
  <c r="E2" i="1"/>
</calcChain>
</file>

<file path=xl/sharedStrings.xml><?xml version="1.0" encoding="utf-8"?>
<sst xmlns="http://schemas.openxmlformats.org/spreadsheetml/2006/main" count="24" uniqueCount="16">
  <si>
    <t>Scenario</t>
  </si>
  <si>
    <t>Dry</t>
  </si>
  <si>
    <t>Normal</t>
  </si>
  <si>
    <t>Wet</t>
  </si>
  <si>
    <t>Very Wet</t>
  </si>
  <si>
    <t>Total AF</t>
  </si>
  <si>
    <t>Target AF</t>
  </si>
  <si>
    <t>Total Op Cost</t>
  </si>
  <si>
    <t>Q1 Water</t>
  </si>
  <si>
    <t>Q2 Water</t>
  </si>
  <si>
    <t>Q3 Water</t>
  </si>
  <si>
    <t>Normalized Cost ($/AF)</t>
  </si>
  <si>
    <t>Sum</t>
  </si>
  <si>
    <t>Average</t>
  </si>
  <si>
    <t>Running Total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</si>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</sst>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14DECB-E5FE-4EE4-BF8D-FF4A37CA9401}" name="Table1" displayName="Table1" ref="A1:H10" totalsRowShown="0">
  <autoFilter ref="A1:H10" xr:uid="{3014DECB-E5FE-4EE4-BF8D-FF4A37CA9401}"/>
  <tableColumns count="8">
    <tableColumn id="1" xr3:uid="{1CF06523-CCC8-4FEF-A4D1-4CF85579D0DE}" name="Scenario"/>
    <tableColumn id="2" xr3:uid="{8D74FC59-D61B-41FE-B59B-DFCECF68DE49}" name="Target AF"/>
    <tableColumn id="3" xr3:uid="{3764D810-7709-4D52-B48F-CCD0EE55641B}" name="Total AF"/>
    <tableColumn id="4" xr3:uid="{A02BCB72-5C8F-4D42-8DE8-C41F1EE5D781}" name="Total Op Cost"/>
    <tableColumn id="5" xr3:uid="{B4E06B85-A541-4975-95A8-E875BF60AE6E}" name="Normalized Cost ($/AF)" dataDxfId="0">
      <calculatedColumnFormula>D2/C2</calculatedColumnFormula>
    </tableColumn>
    <tableColumn id="6" xr3:uid="{CB888B5D-70EC-4307-AAAA-04DB24B04060}" name="Q1 Water"/>
    <tableColumn id="7" xr3:uid="{3CF28664-7840-45C8-AB81-50412EE444EE}" name="Q2 Water"/>
    <tableColumn id="8" xr3:uid="{A74DDC07-E4D4-426C-B304-D60D2A9E7E1A}" name="Q3 Wat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zoomScale="160" zoomScaleNormal="160" workbookViewId="0">
      <selection activeCell="C13" sqref="C13"/>
    </sheetView>
  </sheetViews>
  <sheetFormatPr defaultRowHeight="14.6" x14ac:dyDescent="0.4"/>
  <cols>
    <col min="1" max="1" width="11.15234375" customWidth="1"/>
    <col min="2" max="2" width="13.921875" customWidth="1"/>
    <col min="4" max="4" width="12.53515625" customWidth="1"/>
    <col min="5" max="5" width="21.3046875" customWidth="1"/>
    <col min="6" max="8" width="9.53515625" customWidth="1"/>
  </cols>
  <sheetData>
    <row r="1" spans="1:8" x14ac:dyDescent="0.4">
      <c r="A1" t="s">
        <v>0</v>
      </c>
      <c r="B1" t="s">
        <v>6</v>
      </c>
      <c r="C1" t="s">
        <v>5</v>
      </c>
      <c r="D1" t="s">
        <v>7</v>
      </c>
      <c r="E1" t="s">
        <v>11</v>
      </c>
      <c r="F1" t="s">
        <v>8</v>
      </c>
      <c r="G1" t="s">
        <v>9</v>
      </c>
      <c r="H1" t="s">
        <v>10</v>
      </c>
    </row>
    <row r="2" spans="1:8" x14ac:dyDescent="0.4">
      <c r="A2" t="s">
        <v>1</v>
      </c>
      <c r="B2">
        <v>10000</v>
      </c>
      <c r="C2">
        <v>10000</v>
      </c>
      <c r="D2">
        <v>5085642</v>
      </c>
      <c r="E2" s="1">
        <f>D2/C2</f>
        <v>508.56420000000003</v>
      </c>
      <c r="F2">
        <v>2510</v>
      </c>
      <c r="G2">
        <v>5075</v>
      </c>
      <c r="H2">
        <v>7709</v>
      </c>
    </row>
    <row r="3" spans="1:8" x14ac:dyDescent="0.4">
      <c r="A3" t="s">
        <v>2</v>
      </c>
      <c r="B3">
        <v>10000</v>
      </c>
      <c r="C3">
        <v>10000</v>
      </c>
      <c r="D3">
        <v>5155722</v>
      </c>
      <c r="E3" s="1">
        <f t="shared" ref="E3:E10" si="0">D3/C3</f>
        <v>515.57219999999995</v>
      </c>
      <c r="F3">
        <v>2510</v>
      </c>
      <c r="G3">
        <v>4262</v>
      </c>
      <c r="H3">
        <v>7122</v>
      </c>
    </row>
    <row r="4" spans="1:8" x14ac:dyDescent="0.4">
      <c r="A4" t="s">
        <v>3</v>
      </c>
      <c r="B4">
        <v>10000</v>
      </c>
      <c r="C4">
        <v>10000</v>
      </c>
      <c r="D4">
        <v>5297867</v>
      </c>
      <c r="E4" s="1">
        <f t="shared" si="0"/>
        <v>529.7867</v>
      </c>
      <c r="F4">
        <v>3062</v>
      </c>
      <c r="G4">
        <v>4342</v>
      </c>
      <c r="H4">
        <v>5942</v>
      </c>
    </row>
    <row r="5" spans="1:8" x14ac:dyDescent="0.4">
      <c r="A5" t="s">
        <v>4</v>
      </c>
      <c r="B5">
        <v>10000</v>
      </c>
      <c r="C5">
        <v>9600</v>
      </c>
      <c r="D5">
        <v>5136438</v>
      </c>
      <c r="E5" s="1">
        <f t="shared" si="0"/>
        <v>535.04562499999997</v>
      </c>
      <c r="F5">
        <v>4160</v>
      </c>
      <c r="G5">
        <v>5440</v>
      </c>
      <c r="H5">
        <v>5440</v>
      </c>
    </row>
    <row r="6" spans="1:8" x14ac:dyDescent="0.4">
      <c r="E6" s="1"/>
    </row>
    <row r="7" spans="1:8" x14ac:dyDescent="0.4">
      <c r="A7" t="s">
        <v>1</v>
      </c>
      <c r="B7">
        <v>8000</v>
      </c>
      <c r="C7">
        <v>8000</v>
      </c>
      <c r="D7">
        <v>4120082</v>
      </c>
      <c r="E7" s="1">
        <f t="shared" si="0"/>
        <v>515.01025000000004</v>
      </c>
      <c r="F7">
        <v>1196</v>
      </c>
      <c r="G7">
        <v>3723</v>
      </c>
      <c r="H7">
        <v>6250</v>
      </c>
    </row>
    <row r="8" spans="1:8" x14ac:dyDescent="0.4">
      <c r="A8" t="s">
        <v>2</v>
      </c>
      <c r="B8">
        <v>8000</v>
      </c>
      <c r="C8">
        <v>8000</v>
      </c>
      <c r="D8">
        <v>4142428</v>
      </c>
      <c r="E8" s="1">
        <f t="shared" si="0"/>
        <v>517.80349999999999</v>
      </c>
      <c r="F8">
        <v>2510</v>
      </c>
      <c r="G8">
        <v>4269</v>
      </c>
      <c r="H8">
        <v>6037</v>
      </c>
    </row>
    <row r="9" spans="1:8" x14ac:dyDescent="0.4">
      <c r="A9" t="s">
        <v>3</v>
      </c>
      <c r="B9">
        <v>8000</v>
      </c>
      <c r="C9">
        <v>8000</v>
      </c>
      <c r="D9">
        <v>4222268</v>
      </c>
      <c r="E9" s="1">
        <f t="shared" si="0"/>
        <v>527.7835</v>
      </c>
      <c r="F9">
        <v>2510</v>
      </c>
      <c r="G9">
        <v>3554</v>
      </c>
      <c r="H9">
        <v>5139</v>
      </c>
    </row>
    <row r="10" spans="1:8" x14ac:dyDescent="0.4">
      <c r="A10" t="s">
        <v>4</v>
      </c>
      <c r="B10">
        <v>8000</v>
      </c>
      <c r="C10">
        <v>8000</v>
      </c>
      <c r="D10">
        <v>4271851</v>
      </c>
      <c r="E10" s="1">
        <f t="shared" si="0"/>
        <v>533.98137499999996</v>
      </c>
      <c r="F10">
        <v>3840</v>
      </c>
      <c r="G10">
        <v>5120</v>
      </c>
      <c r="H10">
        <v>5120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2026-09-29T23:30:27Z</dcterms:modified>
</cp:coreProperties>
</file>