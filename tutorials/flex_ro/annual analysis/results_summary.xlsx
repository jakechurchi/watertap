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churchi\watertap\tutorials\flex_ro\annual analysis\"/>
    </mc:Choice>
  </mc:AlternateContent>
  <xr:revisionPtr revIDLastSave="0" documentId="13_ncr:1_{57A14CBA-416A-4676-A28D-DE4166F7A3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3" i="1"/>
  <c r="F4" i="1"/>
  <c r="F5" i="1"/>
  <c r="F6" i="1"/>
  <c r="F7" i="1"/>
  <c r="F8" i="1"/>
  <c r="F9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tc={0C0135B7-E1FB-4B9D-A926-3B25F418FE0C}</author>
  </authors>
  <commentList>
    <comment ref="A4" authorId="0" shapeId="0" xr:uid="{0C0135B7-E1FB-4B9D-A926-3B25F418FE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does include the one month of shutdown at the end of the year</t>
      </text>
    </comment>
  </commentList>
</comments>
</file>

<file path=xl/sharedStrings.xml><?xml version="1.0" encoding="utf-8"?>
<sst xmlns="http://schemas.openxmlformats.org/spreadsheetml/2006/main" count="35" uniqueCount="16">
  <si>
    <t>Dry</t>
  </si>
  <si>
    <t>Normal</t>
  </si>
  <si>
    <t>Wet</t>
  </si>
  <si>
    <t>Very Wet</t>
  </si>
  <si>
    <t>Total AF</t>
  </si>
  <si>
    <t>Target AF</t>
  </si>
  <si>
    <t>Total Op Cost</t>
  </si>
  <si>
    <t>Q1 Water</t>
  </si>
  <si>
    <t>Q2 Water</t>
  </si>
  <si>
    <t>Q3 Water</t>
  </si>
  <si>
    <t>Normalized Cost ($/AF)</t>
  </si>
  <si>
    <t>Rain Year Type</t>
  </si>
  <si>
    <t>Production Strat</t>
  </si>
  <si>
    <t>Flex</t>
  </si>
  <si>
    <t>Max Out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</si>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</sst>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rchill, Jake" id="{FB552105-D09F-4C39-A3B7-87EBDEB6DC39}" userId="S::rchurchi@nrel.gov::24b6a320-1211-4379-9513-990e66715a0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4DECB-E5FE-4EE4-BF8D-FF4A37CA9401}" name="Table1" displayName="Table1" ref="A1:I12" totalsRowShown="0">
  <autoFilter ref="A1:I12" xr:uid="{3014DECB-E5FE-4EE4-BF8D-FF4A37CA9401}"/>
  <tableColumns count="9">
    <tableColumn id="1" xr3:uid="{1CF06523-CCC8-4FEF-A4D1-4CF85579D0DE}" name="Rain Year Type"/>
    <tableColumn id="9" xr3:uid="{4ADE17F0-D4B7-4A06-B940-2A90184BA957}" name="Production Strat"/>
    <tableColumn id="2" xr3:uid="{8D74FC59-D61B-41FE-B59B-DFCECF68DE49}" name="Target AF"/>
    <tableColumn id="3" xr3:uid="{3764D810-7709-4D52-B48F-CCD0EE55641B}" name="Total AF"/>
    <tableColumn id="4" xr3:uid="{A02BCB72-5C8F-4D42-8DE8-C41F1EE5D781}" name="Total Op Cost"/>
    <tableColumn id="5" xr3:uid="{B4E06B85-A541-4975-95A8-E875BF60AE6E}" name="Normalized Cost ($/AF)" dataDxfId="0">
      <calculatedColumnFormula>E2/D2</calculatedColumnFormula>
    </tableColumn>
    <tableColumn id="6" xr3:uid="{CB888B5D-70EC-4307-AAAA-04DB24B04060}" name="Q1 Water"/>
    <tableColumn id="7" xr3:uid="{3CF28664-7840-45C8-AB81-50412EE444EE}" name="Q2 Water"/>
    <tableColumn id="8" xr3:uid="{A74DDC07-E4D4-426C-B304-D60D2A9E7E1A}" name="Q3 Wa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9-30T22:23:34.00" personId="{FB552105-D09F-4C39-A3B7-87EBDEB6DC39}" id="{0C0135B7-E1FB-4B9D-A926-3B25F418FE0C}">
    <text>This does include the one month of shutdown at the end of the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60" zoomScaleNormal="160" workbookViewId="0">
      <selection activeCell="B18" sqref="B18"/>
    </sheetView>
  </sheetViews>
  <sheetFormatPr defaultRowHeight="14.5" x14ac:dyDescent="0.35"/>
  <cols>
    <col min="1" max="2" width="22.26953125" customWidth="1"/>
    <col min="3" max="3" width="13.90625" customWidth="1"/>
    <col min="5" max="5" width="12.54296875" customWidth="1"/>
    <col min="6" max="6" width="21.26953125" customWidth="1"/>
    <col min="7" max="9" width="9.54296875" customWidth="1"/>
  </cols>
  <sheetData>
    <row r="1" spans="1:9" x14ac:dyDescent="0.35">
      <c r="A1" t="s">
        <v>11</v>
      </c>
      <c r="B1" t="s">
        <v>12</v>
      </c>
      <c r="C1" t="s">
        <v>5</v>
      </c>
      <c r="D1" t="s">
        <v>4</v>
      </c>
      <c r="E1" t="s">
        <v>6</v>
      </c>
      <c r="F1" t="s">
        <v>10</v>
      </c>
      <c r="G1" t="s">
        <v>7</v>
      </c>
      <c r="H1" t="s">
        <v>8</v>
      </c>
      <c r="I1" t="s">
        <v>9</v>
      </c>
    </row>
    <row r="2" spans="1:9" x14ac:dyDescent="0.35">
      <c r="A2" t="s">
        <v>0</v>
      </c>
      <c r="B2" t="s">
        <v>13</v>
      </c>
      <c r="C2">
        <v>10000</v>
      </c>
      <c r="D2">
        <v>10000</v>
      </c>
      <c r="E2">
        <v>5085642</v>
      </c>
      <c r="F2" s="1">
        <f>E2/D2</f>
        <v>508.56420000000003</v>
      </c>
      <c r="G2">
        <v>2510</v>
      </c>
      <c r="H2">
        <v>5075</v>
      </c>
      <c r="I2">
        <v>7709</v>
      </c>
    </row>
    <row r="3" spans="1:9" x14ac:dyDescent="0.35">
      <c r="A3" t="s">
        <v>1</v>
      </c>
      <c r="B3" t="s">
        <v>13</v>
      </c>
      <c r="C3">
        <v>10000</v>
      </c>
      <c r="D3">
        <v>10000</v>
      </c>
      <c r="E3">
        <v>5155722</v>
      </c>
      <c r="F3" s="1">
        <f t="shared" ref="F3:F9" si="0">E3/D3</f>
        <v>515.57219999999995</v>
      </c>
      <c r="G3">
        <v>2510</v>
      </c>
      <c r="H3">
        <v>4262</v>
      </c>
      <c r="I3">
        <v>7122</v>
      </c>
    </row>
    <row r="4" spans="1:9" x14ac:dyDescent="0.35">
      <c r="A4" t="s">
        <v>2</v>
      </c>
      <c r="B4" t="s">
        <v>13</v>
      </c>
      <c r="C4">
        <v>10000</v>
      </c>
      <c r="D4">
        <v>10000</v>
      </c>
      <c r="E4">
        <v>5297867</v>
      </c>
      <c r="F4" s="1">
        <f t="shared" si="0"/>
        <v>529.7867</v>
      </c>
      <c r="G4">
        <v>3062</v>
      </c>
      <c r="H4">
        <v>4342</v>
      </c>
      <c r="I4">
        <v>5942</v>
      </c>
    </row>
    <row r="5" spans="1:9" x14ac:dyDescent="0.35">
      <c r="A5" t="s">
        <v>3</v>
      </c>
      <c r="B5" t="s">
        <v>13</v>
      </c>
      <c r="C5">
        <v>10000</v>
      </c>
      <c r="D5">
        <v>9600</v>
      </c>
      <c r="E5">
        <v>5136438</v>
      </c>
      <c r="F5" s="1">
        <f t="shared" si="0"/>
        <v>535.04562499999997</v>
      </c>
      <c r="G5">
        <v>4160</v>
      </c>
      <c r="H5">
        <v>5440</v>
      </c>
      <c r="I5">
        <v>5440</v>
      </c>
    </row>
    <row r="6" spans="1:9" x14ac:dyDescent="0.35">
      <c r="A6" t="s">
        <v>0</v>
      </c>
      <c r="B6" t="s">
        <v>13</v>
      </c>
      <c r="C6">
        <v>8000</v>
      </c>
      <c r="D6">
        <v>8000</v>
      </c>
      <c r="E6">
        <v>4120082</v>
      </c>
      <c r="F6" s="1">
        <f t="shared" si="0"/>
        <v>515.01025000000004</v>
      </c>
      <c r="G6">
        <v>1196</v>
      </c>
      <c r="H6">
        <v>3723</v>
      </c>
      <c r="I6">
        <v>6250</v>
      </c>
    </row>
    <row r="7" spans="1:9" x14ac:dyDescent="0.35">
      <c r="A7" t="s">
        <v>1</v>
      </c>
      <c r="B7" t="s">
        <v>13</v>
      </c>
      <c r="C7">
        <v>8000</v>
      </c>
      <c r="D7">
        <v>8000</v>
      </c>
      <c r="E7">
        <v>4142428</v>
      </c>
      <c r="F7" s="1">
        <f t="shared" si="0"/>
        <v>517.80349999999999</v>
      </c>
      <c r="G7">
        <v>2510</v>
      </c>
      <c r="H7">
        <v>4269</v>
      </c>
      <c r="I7">
        <v>6037</v>
      </c>
    </row>
    <row r="8" spans="1:9" x14ac:dyDescent="0.35">
      <c r="A8" t="s">
        <v>2</v>
      </c>
      <c r="B8" t="s">
        <v>13</v>
      </c>
      <c r="C8">
        <v>8000</v>
      </c>
      <c r="D8">
        <v>8000</v>
      </c>
      <c r="E8">
        <v>4222268</v>
      </c>
      <c r="F8" s="1">
        <f t="shared" si="0"/>
        <v>527.7835</v>
      </c>
      <c r="G8">
        <v>2510</v>
      </c>
      <c r="H8">
        <v>3554</v>
      </c>
      <c r="I8">
        <v>5139</v>
      </c>
    </row>
    <row r="9" spans="1:9" x14ac:dyDescent="0.35">
      <c r="A9" t="s">
        <v>3</v>
      </c>
      <c r="B9" t="s">
        <v>13</v>
      </c>
      <c r="C9">
        <v>8000</v>
      </c>
      <c r="D9">
        <v>8000</v>
      </c>
      <c r="E9">
        <v>4271851</v>
      </c>
      <c r="F9" s="1">
        <f t="shared" si="0"/>
        <v>533.98137499999996</v>
      </c>
      <c r="G9">
        <v>3840</v>
      </c>
      <c r="H9">
        <v>5120</v>
      </c>
      <c r="I9">
        <v>5120</v>
      </c>
    </row>
    <row r="10" spans="1:9" x14ac:dyDescent="0.35">
      <c r="A10" t="s">
        <v>0</v>
      </c>
      <c r="B10" t="s">
        <v>14</v>
      </c>
      <c r="C10">
        <v>10000</v>
      </c>
      <c r="D10">
        <v>10000</v>
      </c>
      <c r="E10">
        <v>5291617</v>
      </c>
      <c r="F10" s="1">
        <f t="shared" ref="F10:F12" si="1">E10/D10</f>
        <v>529.1617</v>
      </c>
      <c r="G10" t="s">
        <v>15</v>
      </c>
      <c r="H10">
        <v>8319</v>
      </c>
      <c r="I10">
        <v>10000</v>
      </c>
    </row>
    <row r="11" spans="1:9" x14ac:dyDescent="0.35">
      <c r="A11" t="s">
        <v>1</v>
      </c>
      <c r="B11" t="s">
        <v>14</v>
      </c>
      <c r="C11">
        <v>10000</v>
      </c>
      <c r="D11">
        <v>10000</v>
      </c>
      <c r="E11">
        <v>5297275</v>
      </c>
      <c r="F11" s="1">
        <f t="shared" si="1"/>
        <v>529.72749999999996</v>
      </c>
      <c r="G11" t="s">
        <v>15</v>
      </c>
      <c r="H11">
        <v>7039</v>
      </c>
      <c r="I11">
        <v>10000</v>
      </c>
    </row>
    <row r="12" spans="1:9" x14ac:dyDescent="0.35">
      <c r="A12" t="s">
        <v>2</v>
      </c>
      <c r="B12" t="s">
        <v>14</v>
      </c>
      <c r="C12">
        <v>10000</v>
      </c>
      <c r="D12">
        <v>10000</v>
      </c>
      <c r="E12">
        <v>5297552</v>
      </c>
      <c r="F12" s="1">
        <f t="shared" si="1"/>
        <v>529.75519999999995</v>
      </c>
      <c r="G12" t="s">
        <v>15</v>
      </c>
      <c r="H12">
        <v>5439</v>
      </c>
      <c r="I12" t="s">
        <v>15</v>
      </c>
    </row>
  </sheetData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2015-06-05T18:17:20Z</dcterms:created>
  <dcterms:modified xsi:type="dcterms:W3CDTF">2026-09-30T22:23:36Z</dcterms:modified>
</cp:coreProperties>
</file>