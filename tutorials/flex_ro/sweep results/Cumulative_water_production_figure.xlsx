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urchi\watertap\tutorials\flex_ro\sweep results\"/>
    </mc:Choice>
  </mc:AlternateContent>
  <xr:revisionPtr revIDLastSave="0" documentId="13_ncr:1_{DC3DCE63-BE44-47F9-91A9-39DD004E27ED}" xr6:coauthVersionLast="47" xr6:coauthVersionMax="47" xr10:uidLastSave="{00000000-0000-0000-0000-000000000000}"/>
  <bookViews>
    <workbookView xWindow="-110" yWindow="-110" windowWidth="19420" windowHeight="10300" activeTab="1" xr2:uid="{7FA62C76-76A4-4D26-9ABE-794AE35D94A5}"/>
  </bookViews>
  <sheets>
    <sheet name="Example" sheetId="1" r:id="rId1"/>
    <sheet name="Modeled Co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67" i="2" l="1"/>
  <c r="T67" i="2"/>
  <c r="U14" i="2"/>
  <c r="T14" i="2"/>
  <c r="V14" i="2" s="1"/>
  <c r="T65" i="2"/>
  <c r="V65" i="2"/>
  <c r="V63" i="2"/>
  <c r="V61" i="2"/>
  <c r="T61" i="2"/>
  <c r="T63" i="2"/>
  <c r="U12" i="2"/>
  <c r="U13" i="2"/>
  <c r="U15" i="2"/>
  <c r="T12" i="2"/>
  <c r="V12" i="2" s="1"/>
  <c r="T13" i="2"/>
  <c r="V13" i="2" s="1"/>
  <c r="T15" i="2"/>
  <c r="V15" i="2" s="1"/>
  <c r="AB38" i="2"/>
  <c r="AB39" i="2"/>
  <c r="AB40" i="2"/>
  <c r="AB41" i="2"/>
  <c r="AA38" i="2"/>
  <c r="AC38" i="2" s="1"/>
  <c r="AA39" i="2"/>
  <c r="AC39" i="2" s="1"/>
  <c r="AA40" i="2"/>
  <c r="AC40" i="2" s="1"/>
  <c r="AA41" i="2"/>
  <c r="AC41" i="2" s="1"/>
  <c r="V62" i="2"/>
  <c r="V64" i="2"/>
  <c r="V66" i="2"/>
  <c r="V68" i="2"/>
  <c r="V60" i="2"/>
  <c r="T68" i="2"/>
  <c r="T66" i="2"/>
  <c r="T64" i="2"/>
  <c r="T62" i="2"/>
  <c r="T60" i="2"/>
  <c r="C10" i="2"/>
  <c r="D10" i="2" s="1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I11" i="2"/>
  <c r="AB34" i="2"/>
  <c r="AB35" i="2"/>
  <c r="AB36" i="2"/>
  <c r="AB37" i="2"/>
  <c r="AB33" i="2"/>
  <c r="AA34" i="2"/>
  <c r="AC34" i="2" s="1"/>
  <c r="AA35" i="2"/>
  <c r="AC35" i="2" s="1"/>
  <c r="AA36" i="2"/>
  <c r="AC36" i="2" s="1"/>
  <c r="AA37" i="2"/>
  <c r="AC37" i="2" s="1"/>
  <c r="AA33" i="2"/>
  <c r="AC33" i="2" s="1"/>
  <c r="AJ8" i="2"/>
  <c r="AJ9" i="2"/>
  <c r="AJ10" i="2"/>
  <c r="AJ11" i="2"/>
  <c r="AJ7" i="2"/>
  <c r="AI8" i="2"/>
  <c r="AK8" i="2" s="1"/>
  <c r="K11" i="2" s="1"/>
  <c r="AI9" i="2"/>
  <c r="AK9" i="2" s="1"/>
  <c r="AI10" i="2"/>
  <c r="AK10" i="2" s="1"/>
  <c r="G15" i="2" s="1"/>
  <c r="H15" i="2" s="1"/>
  <c r="J15" i="2" s="1"/>
  <c r="K15" i="2" s="1"/>
  <c r="L15" i="2" s="1"/>
  <c r="AI11" i="2"/>
  <c r="AK11" i="2" s="1"/>
  <c r="F11" i="2" s="1"/>
  <c r="AI7" i="2"/>
  <c r="AK7" i="2" s="1"/>
  <c r="AC7" i="2"/>
  <c r="AA11" i="2"/>
  <c r="AC11" i="2" s="1"/>
  <c r="C11" i="2" s="1"/>
  <c r="C12" i="2" s="1"/>
  <c r="AA10" i="2"/>
  <c r="AC10" i="2" s="1"/>
  <c r="AA9" i="2"/>
  <c r="AC9" i="2" s="1"/>
  <c r="AA8" i="2"/>
  <c r="AC8" i="2" s="1"/>
  <c r="AA7" i="2"/>
  <c r="AB8" i="2"/>
  <c r="AB9" i="2"/>
  <c r="AB10" i="2"/>
  <c r="AB11" i="2"/>
  <c r="AB7" i="2"/>
  <c r="U8" i="2"/>
  <c r="U9" i="2"/>
  <c r="U10" i="2"/>
  <c r="U11" i="2"/>
  <c r="U7" i="2"/>
  <c r="T8" i="2"/>
  <c r="V8" i="2" s="1"/>
  <c r="T9" i="2"/>
  <c r="V9" i="2" s="1"/>
  <c r="D15" i="2" s="1"/>
  <c r="T10" i="2"/>
  <c r="V10" i="2" s="1"/>
  <c r="T11" i="2"/>
  <c r="V11" i="2" s="1"/>
  <c r="T7" i="2"/>
  <c r="V7" i="2" s="1"/>
  <c r="C14" i="2"/>
  <c r="D14" i="2" s="1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F8" i="2"/>
  <c r="G8" i="2" s="1"/>
  <c r="H8" i="2" s="1"/>
  <c r="I8" i="2" s="1"/>
  <c r="J8" i="2" s="1"/>
  <c r="K8" i="2" s="1"/>
  <c r="L8" i="2" s="1"/>
  <c r="M8" i="2" s="1"/>
  <c r="N8" i="2" s="1"/>
  <c r="R15" i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Q15" i="1"/>
  <c r="Q13" i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R11" i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Q11" i="1"/>
  <c r="Q9" i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R7" i="1"/>
  <c r="S7" i="1" s="1"/>
  <c r="T7" i="1" s="1"/>
  <c r="U7" i="1" s="1"/>
  <c r="V7" i="1" s="1"/>
  <c r="W7" i="1" s="1"/>
  <c r="X7" i="1" s="1"/>
  <c r="Y7" i="1" s="1"/>
  <c r="Z7" i="1" s="1"/>
  <c r="AA7" i="1" s="1"/>
  <c r="AB7" i="1" s="1"/>
  <c r="Q7" i="1"/>
  <c r="T5" i="1"/>
  <c r="U5" i="1" s="1"/>
  <c r="V5" i="1" s="1"/>
  <c r="W5" i="1" s="1"/>
  <c r="X5" i="1" s="1"/>
  <c r="Y5" i="1" s="1"/>
  <c r="Z5" i="1" s="1"/>
  <c r="AA5" i="1" s="1"/>
  <c r="AB5" i="1" s="1"/>
  <c r="E15" i="1"/>
  <c r="F15" i="1"/>
  <c r="G15" i="1" s="1"/>
  <c r="H15" i="1" s="1"/>
  <c r="I15" i="1" s="1"/>
  <c r="J15" i="1" s="1"/>
  <c r="K15" i="1" s="1"/>
  <c r="L15" i="1" s="1"/>
  <c r="M15" i="1" s="1"/>
  <c r="N15" i="1" s="1"/>
  <c r="D15" i="1"/>
  <c r="C15" i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C11" i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E7" i="1"/>
  <c r="F7" i="1" s="1"/>
  <c r="G7" i="1" s="1"/>
  <c r="H7" i="1" s="1"/>
  <c r="I7" i="1" s="1"/>
  <c r="J7" i="1" s="1"/>
  <c r="K7" i="1" s="1"/>
  <c r="L7" i="1" s="1"/>
  <c r="M7" i="1" s="1"/>
  <c r="N7" i="1" s="1"/>
  <c r="D7" i="1"/>
  <c r="C7" i="1"/>
  <c r="F5" i="1"/>
  <c r="G5" i="1" s="1"/>
  <c r="H5" i="1" s="1"/>
  <c r="I5" i="1" s="1"/>
  <c r="J5" i="1" s="1"/>
  <c r="K5" i="1" s="1"/>
  <c r="L5" i="1" s="1"/>
  <c r="M5" i="1" s="1"/>
  <c r="N5" i="1" s="1"/>
  <c r="G11" i="2" l="1"/>
  <c r="H11" i="2" s="1"/>
  <c r="J11" i="2" s="1"/>
  <c r="F15" i="2"/>
  <c r="D11" i="2"/>
  <c r="E11" i="2" s="1"/>
  <c r="E15" i="2"/>
  <c r="C15" i="2"/>
  <c r="C16" i="2" s="1"/>
  <c r="D16" i="2" s="1"/>
  <c r="E16" i="2" s="1"/>
  <c r="F16" i="2" s="1"/>
  <c r="G16" i="2" s="1"/>
  <c r="D12" i="2" l="1"/>
  <c r="H16" i="2"/>
  <c r="I16" i="2" s="1"/>
  <c r="J16" i="2" s="1"/>
  <c r="K16" i="2" s="1"/>
  <c r="L16" i="2" s="1"/>
  <c r="M16" i="2" s="1"/>
  <c r="N16" i="2" s="1"/>
  <c r="E12" i="2"/>
  <c r="F12" i="2" s="1"/>
  <c r="G12" i="2" s="1"/>
  <c r="H12" i="2" s="1"/>
  <c r="I12" i="2" s="1"/>
  <c r="J12" i="2" s="1"/>
  <c r="K12" i="2" s="1"/>
  <c r="L12" i="2" s="1"/>
  <c r="M12" i="2" s="1"/>
  <c r="N1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tc={379F3306-7B9D-4E3D-A0A2-3BE1269BF62B}</author>
    <author>tc={CDEE415F-F3E2-4825-A2C1-6D777471F0FD}</author>
    <author>tc={CC588DCD-D001-4384-8618-A7F1C60EB748}</author>
  </authors>
  <commentList>
    <comment ref="U3" authorId="0" shapeId="0" xr:uid="{379F3306-7B9D-4E3D-A0A2-3BE1269BF6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ACTUALLY CONFIRMED YET</t>
      </text>
    </comment>
    <comment ref="AP5" authorId="1" shapeId="0" xr:uid="{CDEE415F-F3E2-4825-A2C1-6D777471F0FD}">
      <text>
        <t>[Threaded comment]
Your version of Excel allows you to read this threaded comment; however, any edits to it will get removed if the file is opened in a newer version of Excel. Learn more: https://go.microsoft.com/fwlink/?linkid=870924
Comment:
    Shutdowns = train op mode, not a full plant shutdown</t>
      </text>
    </comment>
    <comment ref="B9" authorId="2" shapeId="0" xr:uid="{CC588DCD-D001-4384-8618-A7F1C60EB748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Maxing out production at beginning of year and using zero operational flexibility
Reply:
    Note “no flex” is actually already lower cost than their current operations because they don’t operate to mitigate demand charges</t>
      </text>
    </comment>
  </commentList>
</comments>
</file>

<file path=xl/sharedStrings.xml><?xml version="1.0" encoding="utf-8"?>
<sst xmlns="http://schemas.openxmlformats.org/spreadsheetml/2006/main" count="120" uniqueCount="56">
  <si>
    <t>Month</t>
  </si>
  <si>
    <t>July</t>
  </si>
  <si>
    <t>Aug</t>
  </si>
  <si>
    <t>May</t>
  </si>
  <si>
    <t xml:space="preserve">Cum </t>
  </si>
  <si>
    <t>Half Aug</t>
  </si>
  <si>
    <t>Oct</t>
  </si>
  <si>
    <t>Nov</t>
  </si>
  <si>
    <t>Dec</t>
  </si>
  <si>
    <t>Jan</t>
  </si>
  <si>
    <t>Feb</t>
  </si>
  <si>
    <t>Mar</t>
  </si>
  <si>
    <t>Apr</t>
  </si>
  <si>
    <t>Jun</t>
  </si>
  <si>
    <t>Sep</t>
  </si>
  <si>
    <t>May shutdown</t>
  </si>
  <si>
    <t>Aug shutdown</t>
  </si>
  <si>
    <t>Half Aug + May Shutdown</t>
  </si>
  <si>
    <t>Winter Shifted</t>
  </si>
  <si>
    <t>No Rain</t>
  </si>
  <si>
    <t>One month down because rain</t>
  </si>
  <si>
    <t>Not Flexible</t>
  </si>
  <si>
    <t xml:space="preserve">From water sweep </t>
  </si>
  <si>
    <t>AF per month</t>
  </si>
  <si>
    <t>TOTAL WEEKLY COST</t>
  </si>
  <si>
    <t>OPEX per month</t>
  </si>
  <si>
    <t xml:space="preserve">CAPEX </t>
  </si>
  <si>
    <t xml:space="preserve">OPEX </t>
  </si>
  <si>
    <t>Cum. Water</t>
  </si>
  <si>
    <t>Cum. OPEX</t>
  </si>
  <si>
    <t>Cum . Water</t>
  </si>
  <si>
    <t>Flexible Water</t>
  </si>
  <si>
    <t>OPEX Costs</t>
  </si>
  <si>
    <t>SUMMER FLEX</t>
  </si>
  <si>
    <t>Water Production Options w/ Jan Rain Shutdown</t>
  </si>
  <si>
    <t>WINTER</t>
  </si>
  <si>
    <t>SUMMER NO FLEX</t>
  </si>
  <si>
    <t>m3/week</t>
  </si>
  <si>
    <t>Summer w/ one shutdown allowed</t>
  </si>
  <si>
    <t>SUMMER ONE SHUTDOWN</t>
  </si>
  <si>
    <t>ENERGY COSTS</t>
  </si>
  <si>
    <t>Week</t>
  </si>
  <si>
    <t>Annual Production (AF)</t>
  </si>
  <si>
    <t>Sweep in terms number of shutdowns allowed</t>
  </si>
  <si>
    <t>Number of Allowed Shutdowns</t>
  </si>
  <si>
    <t>Total Water Production (m3)</t>
  </si>
  <si>
    <t>Total Cost ($)</t>
  </si>
  <si>
    <t>Total Energy Cost ($)</t>
  </si>
  <si>
    <t>Total Demand Cost ($)</t>
  </si>
  <si>
    <t>Total Feed Cost ($)</t>
  </si>
  <si>
    <t>Total Brine Cost ($)</t>
  </si>
  <si>
    <t>Total Chemical Cost ($)</t>
  </si>
  <si>
    <t>Total Electricity Cost ($)</t>
  </si>
  <si>
    <t>Total Replacement Cost ($)</t>
  </si>
  <si>
    <t>Degree of Flexibility</t>
  </si>
  <si>
    <t>Levelized Cost of Water ($/m3)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</si>
</sst>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Water Production (No Rain)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 Approach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Example!$C$4:$N$4</c:f>
              <c:strCache>
                <c:ptCount val="12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Example!$C$7:$N$7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5-40A0-A120-81577EF0B51D}"/>
            </c:ext>
          </c:extLst>
        </c:ser>
        <c:ser>
          <c:idx val="1"/>
          <c:order val="1"/>
          <c:tx>
            <c:strRef>
              <c:f>Example!$B$8</c:f>
              <c:strCache>
                <c:ptCount val="1"/>
                <c:pt idx="0">
                  <c:v>Aug shutdown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Example!$C$4:$N$4</c:f>
              <c:strCache>
                <c:ptCount val="12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Example!$C$9:$N$9</c:f>
              <c:numCache>
                <c:formatCode>General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F5-40A0-A120-81577EF0B51D}"/>
            </c:ext>
          </c:extLst>
        </c:ser>
        <c:ser>
          <c:idx val="3"/>
          <c:order val="3"/>
          <c:tx>
            <c:v>Shift off Summer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Example!$C$15:$N$15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600</c:v>
                </c:pt>
                <c:pt idx="3">
                  <c:v>1800</c:v>
                </c:pt>
                <c:pt idx="4">
                  <c:v>3000</c:v>
                </c:pt>
                <c:pt idx="5">
                  <c:v>4200</c:v>
                </c:pt>
                <c:pt idx="6">
                  <c:v>5400</c:v>
                </c:pt>
                <c:pt idx="7">
                  <c:v>6600</c:v>
                </c:pt>
                <c:pt idx="8">
                  <c:v>7800</c:v>
                </c:pt>
                <c:pt idx="9">
                  <c:v>9000</c:v>
                </c:pt>
                <c:pt idx="10">
                  <c:v>10000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0-4B76-9B6E-866E0EB16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572648"/>
        <c:axId val="68256508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Example!$B$12</c15:sqref>
                        </c15:formulaRef>
                      </c:ext>
                    </c:extLst>
                    <c:strCache>
                      <c:ptCount val="1"/>
                      <c:pt idx="0">
                        <c:v>Half Aug + May Shutdown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Example!$C$13:$N$13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</c:v>
                      </c:pt>
                      <c:pt idx="1">
                        <c:v>1500</c:v>
                      </c:pt>
                      <c:pt idx="2">
                        <c:v>2500</c:v>
                      </c:pt>
                      <c:pt idx="3">
                        <c:v>3600</c:v>
                      </c:pt>
                      <c:pt idx="4">
                        <c:v>4700</c:v>
                      </c:pt>
                      <c:pt idx="5">
                        <c:v>5800</c:v>
                      </c:pt>
                      <c:pt idx="6">
                        <c:v>6900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10000</c:v>
                      </c:pt>
                      <c:pt idx="11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FF5-40A0-A120-81577EF0B51D}"/>
                  </c:ext>
                </c:extLst>
              </c15:ser>
            </c15:filteredLineSeries>
          </c:ext>
        </c:extLst>
      </c:lineChart>
      <c:catAx>
        <c:axId val="682572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65088"/>
        <c:crosses val="autoZero"/>
        <c:auto val="1"/>
        <c:lblAlgn val="ctr"/>
        <c:lblOffset val="100"/>
        <c:noMultiLvlLbl val="0"/>
      </c:catAx>
      <c:valAx>
        <c:axId val="68256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</a:t>
                </a:r>
                <a:r>
                  <a:rPr lang="en-US" baseline="0"/>
                  <a:t> Production (AF)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7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1085082419734"/>
          <c:y val="0.60230212011261353"/>
          <c:w val="0.20672468024830229"/>
          <c:h val="0.1757824803149606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Water Production (Rain in Jan)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 Approach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Example!$C$4:$N$4</c:f>
              <c:strCache>
                <c:ptCount val="12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Example!$Q$7:$AB$7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6000</c:v>
                </c:pt>
                <c:pt idx="7">
                  <c:v>7200</c:v>
                </c:pt>
                <c:pt idx="8">
                  <c:v>8400</c:v>
                </c:pt>
                <c:pt idx="9">
                  <c:v>9600</c:v>
                </c:pt>
                <c:pt idx="10">
                  <c:v>10000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2-40FA-BC42-EA8CD21335D4}"/>
            </c:ext>
          </c:extLst>
        </c:ser>
        <c:ser>
          <c:idx val="1"/>
          <c:order val="1"/>
          <c:tx>
            <c:strRef>
              <c:f>Example!$B$8</c:f>
              <c:strCache>
                <c:ptCount val="1"/>
                <c:pt idx="0">
                  <c:v>Aug shutdown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Example!$C$4:$N$4</c:f>
              <c:strCache>
                <c:ptCount val="12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Example!$Q$9:$AB$9</c:f>
              <c:numCache>
                <c:formatCode>General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5000</c:v>
                </c:pt>
                <c:pt idx="7">
                  <c:v>6200</c:v>
                </c:pt>
                <c:pt idx="8">
                  <c:v>7400</c:v>
                </c:pt>
                <c:pt idx="9">
                  <c:v>8600</c:v>
                </c:pt>
                <c:pt idx="10">
                  <c:v>9800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2-40FA-BC42-EA8CD21335D4}"/>
            </c:ext>
          </c:extLst>
        </c:ser>
        <c:ser>
          <c:idx val="3"/>
          <c:order val="2"/>
          <c:tx>
            <c:v>Shift off Summer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Example!$Q$15:$AB$15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600</c:v>
                </c:pt>
                <c:pt idx="3">
                  <c:v>1800</c:v>
                </c:pt>
                <c:pt idx="4">
                  <c:v>3000</c:v>
                </c:pt>
                <c:pt idx="5">
                  <c:v>4200</c:v>
                </c:pt>
                <c:pt idx="6">
                  <c:v>4200</c:v>
                </c:pt>
                <c:pt idx="7">
                  <c:v>5400</c:v>
                </c:pt>
                <c:pt idx="8">
                  <c:v>6600</c:v>
                </c:pt>
                <c:pt idx="9">
                  <c:v>7800</c:v>
                </c:pt>
                <c:pt idx="10">
                  <c:v>9000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42-40FA-BC42-EA8CD2133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572648"/>
        <c:axId val="682565088"/>
        <c:extLst/>
      </c:lineChart>
      <c:catAx>
        <c:axId val="682572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65088"/>
        <c:crosses val="autoZero"/>
        <c:auto val="1"/>
        <c:lblAlgn val="ctr"/>
        <c:lblOffset val="100"/>
        <c:noMultiLvlLbl val="0"/>
      </c:catAx>
      <c:valAx>
        <c:axId val="68256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</a:t>
                </a:r>
                <a:r>
                  <a:rPr lang="en-US" baseline="0"/>
                  <a:t> Production (AF)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7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45776877104652"/>
          <c:y val="0.54613569774714954"/>
          <c:w val="0.22459941122202051"/>
          <c:h val="0.2519254494805636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OPEX (w/ Jan. Rain)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Production w/o Flexibility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'Modeled Costs'!$C$7:$N$7</c:f>
              <c:strCache>
                <c:ptCount val="12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'Modeled Costs'!$C$12:$N$12</c:f>
              <c:numCache>
                <c:formatCode>General</c:formatCode>
                <c:ptCount val="12"/>
                <c:pt idx="0">
                  <c:v>687622.98458399589</c:v>
                </c:pt>
                <c:pt idx="1">
                  <c:v>1375245.9691679918</c:v>
                </c:pt>
                <c:pt idx="2">
                  <c:v>2062868.9537519878</c:v>
                </c:pt>
                <c:pt idx="3">
                  <c:v>2708800.1702870321</c:v>
                </c:pt>
                <c:pt idx="4">
                  <c:v>3354731.3868220765</c:v>
                </c:pt>
                <c:pt idx="5">
                  <c:v>4000662.6033571209</c:v>
                </c:pt>
                <c:pt idx="6">
                  <c:v>4000662.6033571209</c:v>
                </c:pt>
                <c:pt idx="7">
                  <c:v>4646593.8198921653</c:v>
                </c:pt>
                <c:pt idx="8">
                  <c:v>5050369.2942532292</c:v>
                </c:pt>
                <c:pt idx="9">
                  <c:v>5050369.2942532292</c:v>
                </c:pt>
                <c:pt idx="10">
                  <c:v>5050369.2942532292</c:v>
                </c:pt>
                <c:pt idx="11">
                  <c:v>5050369.2942532292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E4-4A97-A41E-97B047F86456}"/>
            </c:ext>
          </c:extLst>
        </c:ser>
        <c:ser>
          <c:idx val="1"/>
          <c:order val="1"/>
          <c:tx>
            <c:v>Flexible Summers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'Modeled Costs'!$C$7:$N$7</c:f>
              <c:strCache>
                <c:ptCount val="12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'Modeled Costs'!$C$16:$N$16</c:f>
              <c:numCache>
                <c:formatCode>General</c:formatCode>
                <c:ptCount val="12"/>
                <c:pt idx="0">
                  <c:v>422805.18771428574</c:v>
                </c:pt>
                <c:pt idx="1">
                  <c:v>845610.37542857148</c:v>
                </c:pt>
                <c:pt idx="2">
                  <c:v>1268415.5631428573</c:v>
                </c:pt>
                <c:pt idx="3">
                  <c:v>1914346.7796779014</c:v>
                </c:pt>
                <c:pt idx="4">
                  <c:v>2473604.8500450812</c:v>
                </c:pt>
                <c:pt idx="5">
                  <c:v>3032862.920412261</c:v>
                </c:pt>
                <c:pt idx="6">
                  <c:v>3032862.920412261</c:v>
                </c:pt>
                <c:pt idx="7">
                  <c:v>3592120.9907794409</c:v>
                </c:pt>
                <c:pt idx="8">
                  <c:v>4151379.0611466207</c:v>
                </c:pt>
                <c:pt idx="9">
                  <c:v>4710637.1315138005</c:v>
                </c:pt>
                <c:pt idx="10">
                  <c:v>4710637.1315138005</c:v>
                </c:pt>
                <c:pt idx="11">
                  <c:v>4710637.1315138005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E4-4A97-A41E-97B047F86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572648"/>
        <c:axId val="682565088"/>
        <c:extLst/>
      </c:lineChart>
      <c:catAx>
        <c:axId val="682572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65088"/>
        <c:crosses val="autoZero"/>
        <c:auto val="1"/>
        <c:lblAlgn val="ctr"/>
        <c:lblOffset val="100"/>
        <c:noMultiLvlLbl val="0"/>
      </c:catAx>
      <c:valAx>
        <c:axId val="68256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Cum. OPEX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7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12967925369061"/>
          <c:y val="0.4911910791751638"/>
          <c:w val="0.3007329059832779"/>
          <c:h val="0.1188388928798083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w/ Flex - Monthly 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'Modeled Costs'!$U$7:$U$15</c:f>
              <c:numCache>
                <c:formatCode>General</c:formatCode>
                <c:ptCount val="9"/>
                <c:pt idx="0">
                  <c:v>653.60975435751936</c:v>
                </c:pt>
                <c:pt idx="1">
                  <c:v>735.31097365220921</c:v>
                </c:pt>
                <c:pt idx="2">
                  <c:v>817.01219294689895</c:v>
                </c:pt>
                <c:pt idx="3">
                  <c:v>898.71590341073602</c:v>
                </c:pt>
                <c:pt idx="4">
                  <c:v>980.41463153627888</c:v>
                </c:pt>
                <c:pt idx="5">
                  <c:v>1062.1158508309688</c:v>
                </c:pt>
                <c:pt idx="6">
                  <c:v>1144.0680601077077</c:v>
                </c:pt>
                <c:pt idx="7">
                  <c:v>1225.5182896343147</c:v>
                </c:pt>
                <c:pt idx="8">
                  <c:v>1307.2265579940936</c:v>
                </c:pt>
              </c:numCache>
            </c:numRef>
          </c:xVal>
          <c:yVal>
            <c:numRef>
              <c:f>'Modeled Costs'!$V$7:$V$15</c:f>
              <c:numCache>
                <c:formatCode>General</c:formatCode>
                <c:ptCount val="9"/>
                <c:pt idx="0">
                  <c:v>343141.15585714288</c:v>
                </c:pt>
                <c:pt idx="1">
                  <c:v>382241.0331428572</c:v>
                </c:pt>
                <c:pt idx="2">
                  <c:v>422805.18771428574</c:v>
                </c:pt>
                <c:pt idx="3">
                  <c:v>461422.62342857145</c:v>
                </c:pt>
                <c:pt idx="4">
                  <c:v>504565.85528571426</c:v>
                </c:pt>
                <c:pt idx="5">
                  <c:v>540357.74828571419</c:v>
                </c:pt>
                <c:pt idx="6">
                  <c:v>583234.65171428572</c:v>
                </c:pt>
                <c:pt idx="7">
                  <c:v>626712.45717253711</c:v>
                </c:pt>
                <c:pt idx="8">
                  <c:v>682869.95400000003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D2-48A2-818F-EDB3A597D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11552"/>
        <c:axId val="487810472"/>
      </c:scatterChart>
      <c:valAx>
        <c:axId val="4878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AF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0472"/>
        <c:crosses val="autoZero"/>
        <c:crossBetween val="midCat"/>
      </c:valAx>
      <c:valAx>
        <c:axId val="48781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OPEX</a:t>
                </a:r>
                <a:r>
                  <a:rPr lang="en-US" baseline="0"/>
                  <a:t> per Month</a:t>
                </a:r>
                <a:r>
                  <a:rPr lang="en-US"/>
                  <a:t>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No Flex - Monthly 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 OPEX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'Modeled Costs'!$AB$7:$AB$11</c:f>
              <c:numCache>
                <c:formatCode>General</c:formatCode>
                <c:ptCount val="5"/>
                <c:pt idx="0">
                  <c:v>653.60975450662795</c:v>
                </c:pt>
                <c:pt idx="1">
                  <c:v>971.8686663964329</c:v>
                </c:pt>
                <c:pt idx="2">
                  <c:v>980.41463165050448</c:v>
                </c:pt>
                <c:pt idx="3">
                  <c:v>1295.8249484996143</c:v>
                </c:pt>
                <c:pt idx="4">
                  <c:v>1307.2195089378295</c:v>
                </c:pt>
              </c:numCache>
            </c:numRef>
          </c:xVal>
          <c:yVal>
            <c:numRef>
              <c:f>'Modeled Costs'!$AC$7:$AC$11</c:f>
              <c:numCache>
                <c:formatCode>General</c:formatCode>
                <c:ptCount val="5"/>
                <c:pt idx="0">
                  <c:v>343141.14762048423</c:v>
                </c:pt>
                <c:pt idx="1">
                  <c:v>509698.12750989851</c:v>
                </c:pt>
                <c:pt idx="2">
                  <c:v>514712.31871507276</c:v>
                </c:pt>
                <c:pt idx="3">
                  <c:v>680707.86862926849</c:v>
                </c:pt>
                <c:pt idx="4">
                  <c:v>687622.98458399589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A0-4AD5-989B-9BBA3CD00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11552"/>
        <c:axId val="487810472"/>
      </c:scatterChart>
      <c:valAx>
        <c:axId val="4878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AF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0472"/>
        <c:crosses val="autoZero"/>
        <c:crossBetween val="midCat"/>
      </c:valAx>
      <c:valAx>
        <c:axId val="48781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OPEX</a:t>
                </a:r>
                <a:r>
                  <a:rPr lang="en-US" baseline="0"/>
                  <a:t> per Month</a:t>
                </a:r>
                <a:r>
                  <a:rPr lang="en-US"/>
                  <a:t>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Winter Monthly 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 OPEX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'Modeled Costs'!$AJ$7:$AJ$11</c:f>
              <c:numCache>
                <c:formatCode>General</c:formatCode>
                <c:ptCount val="5"/>
                <c:pt idx="0">
                  <c:v>653.60975451420222</c:v>
                </c:pt>
                <c:pt idx="1">
                  <c:v>820.22699635184438</c:v>
                </c:pt>
                <c:pt idx="2">
                  <c:v>980.41463172713304</c:v>
                </c:pt>
                <c:pt idx="3">
                  <c:v>1143.9297553538652</c:v>
                </c:pt>
                <c:pt idx="4">
                  <c:v>1307.2195088673611</c:v>
                </c:pt>
              </c:numCache>
            </c:numRef>
          </c:xVal>
          <c:yVal>
            <c:numRef>
              <c:f>'Modeled Costs'!$AK$7:$AK$11</c:f>
              <c:numCache>
                <c:formatCode>General</c:formatCode>
                <c:ptCount val="5"/>
                <c:pt idx="0">
                  <c:v>317561.83596700715</c:v>
                </c:pt>
                <c:pt idx="1">
                  <c:v>403775.47436106432</c:v>
                </c:pt>
                <c:pt idx="2">
                  <c:v>478900.14294542995</c:v>
                </c:pt>
                <c:pt idx="3">
                  <c:v>559258.07036717993</c:v>
                </c:pt>
                <c:pt idx="4">
                  <c:v>645931.21653504425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6-451A-94B4-29BAE3859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11552"/>
        <c:axId val="487810472"/>
      </c:scatterChart>
      <c:valAx>
        <c:axId val="4878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AF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0472"/>
        <c:crosses val="autoZero"/>
        <c:crossBetween val="midCat"/>
      </c:valAx>
      <c:valAx>
        <c:axId val="487810472"/>
        <c:scaling>
          <c:orientation val="minMax"/>
          <c:max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OPEX</a:t>
                </a:r>
                <a:r>
                  <a:rPr lang="en-US" baseline="0"/>
                  <a:t> per Month</a:t>
                </a:r>
                <a:r>
                  <a:rPr lang="en-US"/>
                  <a:t>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No Flex - Monthly 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'Modeled Costs'!$AB$33:$AB$41</c:f>
              <c:numCache>
                <c:formatCode>General</c:formatCode>
                <c:ptCount val="9"/>
                <c:pt idx="0">
                  <c:v>653.60975435751936</c:v>
                </c:pt>
                <c:pt idx="1">
                  <c:v>735.31097373794785</c:v>
                </c:pt>
                <c:pt idx="2">
                  <c:v>817.01562795032476</c:v>
                </c:pt>
                <c:pt idx="3">
                  <c:v>898.71341244900225</c:v>
                </c:pt>
                <c:pt idx="4">
                  <c:v>980.41463188372222</c:v>
                </c:pt>
                <c:pt idx="5">
                  <c:v>1062.8293473854885</c:v>
                </c:pt>
                <c:pt idx="6">
                  <c:v>1143.8170708205455</c:v>
                </c:pt>
                <c:pt idx="7">
                  <c:v>1225.5182896451131</c:v>
                </c:pt>
                <c:pt idx="8">
                  <c:v>1307.2195090624821</c:v>
                </c:pt>
              </c:numCache>
            </c:numRef>
          </c:xVal>
          <c:yVal>
            <c:numRef>
              <c:f>'Modeled Costs'!$AC$33:$AC$41</c:f>
              <c:numCache>
                <c:formatCode>General</c:formatCode>
                <c:ptCount val="9"/>
                <c:pt idx="0">
                  <c:v>343141.15542857145</c:v>
                </c:pt>
                <c:pt idx="1">
                  <c:v>386579.3856949886</c:v>
                </c:pt>
                <c:pt idx="2">
                  <c:v>424651.4097304329</c:v>
                </c:pt>
                <c:pt idx="3">
                  <c:v>473383.28362189711</c:v>
                </c:pt>
                <c:pt idx="4">
                  <c:v>518160.71828571422</c:v>
                </c:pt>
                <c:pt idx="5">
                  <c:v>561827.67614238441</c:v>
                </c:pt>
                <c:pt idx="6">
                  <c:v>601366.87885714299</c:v>
                </c:pt>
                <c:pt idx="7">
                  <c:v>643552.06847316015</c:v>
                </c:pt>
                <c:pt idx="8">
                  <c:v>687623.00742857135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B1-46BD-9925-B7EB21820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11552"/>
        <c:axId val="487810472"/>
      </c:scatterChart>
      <c:valAx>
        <c:axId val="4878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AF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0472"/>
        <c:crosses val="autoZero"/>
        <c:crossBetween val="midCat"/>
      </c:valAx>
      <c:valAx>
        <c:axId val="48781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OPEX</a:t>
                </a:r>
                <a:r>
                  <a:rPr lang="en-US" baseline="0"/>
                  <a:t> per Month</a:t>
                </a:r>
                <a:r>
                  <a:rPr lang="en-US"/>
                  <a:t>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for Summer 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76145755534826"/>
          <c:y val="0.14844485902965002"/>
          <c:w val="0.71596328116028962"/>
          <c:h val="0.67416050435130637"/>
        </c:manualLayout>
      </c:layout>
      <c:scatterChart>
        <c:scatterStyle val="lineMarker"/>
        <c:varyColors val="0"/>
        <c:ser>
          <c:idx val="0"/>
          <c:order val="0"/>
          <c:tx>
            <c:v>Flexible Operations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'Modeled Costs'!$U$7:$U$15</c:f>
              <c:numCache>
                <c:formatCode>General</c:formatCode>
                <c:ptCount val="9"/>
                <c:pt idx="0">
                  <c:v>653.60975435751936</c:v>
                </c:pt>
                <c:pt idx="1">
                  <c:v>735.31097365220921</c:v>
                </c:pt>
                <c:pt idx="2">
                  <c:v>817.01219294689895</c:v>
                </c:pt>
                <c:pt idx="3">
                  <c:v>898.71590341073602</c:v>
                </c:pt>
                <c:pt idx="4">
                  <c:v>980.41463153627888</c:v>
                </c:pt>
                <c:pt idx="5">
                  <c:v>1062.1158508309688</c:v>
                </c:pt>
                <c:pt idx="6">
                  <c:v>1144.0680601077077</c:v>
                </c:pt>
                <c:pt idx="7">
                  <c:v>1225.5182896343147</c:v>
                </c:pt>
                <c:pt idx="8">
                  <c:v>1307.2265579940936</c:v>
                </c:pt>
              </c:numCache>
            </c:numRef>
          </c:xVal>
          <c:yVal>
            <c:numRef>
              <c:f>'Modeled Costs'!$V$7:$V$15</c:f>
              <c:numCache>
                <c:formatCode>General</c:formatCode>
                <c:ptCount val="9"/>
                <c:pt idx="0">
                  <c:v>343141.15585714288</c:v>
                </c:pt>
                <c:pt idx="1">
                  <c:v>382241.0331428572</c:v>
                </c:pt>
                <c:pt idx="2">
                  <c:v>422805.18771428574</c:v>
                </c:pt>
                <c:pt idx="3">
                  <c:v>461422.62342857145</c:v>
                </c:pt>
                <c:pt idx="4">
                  <c:v>504565.85528571426</c:v>
                </c:pt>
                <c:pt idx="5">
                  <c:v>540357.74828571419</c:v>
                </c:pt>
                <c:pt idx="6">
                  <c:v>583234.65171428572</c:v>
                </c:pt>
                <c:pt idx="7">
                  <c:v>626712.45717253711</c:v>
                </c:pt>
                <c:pt idx="8">
                  <c:v>682869.95400000003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EE-47DD-BCE0-0F000E47F4C6}"/>
            </c:ext>
          </c:extLst>
        </c:ser>
        <c:ser>
          <c:idx val="1"/>
          <c:order val="1"/>
          <c:tx>
            <c:v>One Shutdown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'Modeled Costs'!$AB$33:$AB$41</c:f>
              <c:numCache>
                <c:formatCode>General</c:formatCode>
                <c:ptCount val="9"/>
                <c:pt idx="0">
                  <c:v>653.60975435751936</c:v>
                </c:pt>
                <c:pt idx="1">
                  <c:v>735.31097373794785</c:v>
                </c:pt>
                <c:pt idx="2">
                  <c:v>817.01562795032476</c:v>
                </c:pt>
                <c:pt idx="3">
                  <c:v>898.71341244900225</c:v>
                </c:pt>
                <c:pt idx="4">
                  <c:v>980.41463188372222</c:v>
                </c:pt>
                <c:pt idx="5">
                  <c:v>1062.8293473854885</c:v>
                </c:pt>
                <c:pt idx="6">
                  <c:v>1143.8170708205455</c:v>
                </c:pt>
                <c:pt idx="7">
                  <c:v>1225.5182896451131</c:v>
                </c:pt>
                <c:pt idx="8">
                  <c:v>1307.2195090624821</c:v>
                </c:pt>
              </c:numCache>
            </c:numRef>
          </c:xVal>
          <c:yVal>
            <c:numRef>
              <c:f>'Modeled Costs'!$AC$33:$AC$41</c:f>
              <c:numCache>
                <c:formatCode>General</c:formatCode>
                <c:ptCount val="9"/>
                <c:pt idx="0">
                  <c:v>343141.15542857145</c:v>
                </c:pt>
                <c:pt idx="1">
                  <c:v>386579.3856949886</c:v>
                </c:pt>
                <c:pt idx="2">
                  <c:v>424651.4097304329</c:v>
                </c:pt>
                <c:pt idx="3">
                  <c:v>473383.28362189711</c:v>
                </c:pt>
                <c:pt idx="4">
                  <c:v>518160.71828571422</c:v>
                </c:pt>
                <c:pt idx="5">
                  <c:v>561827.67614238441</c:v>
                </c:pt>
                <c:pt idx="6">
                  <c:v>601366.87885714299</c:v>
                </c:pt>
                <c:pt idx="7">
                  <c:v>643552.06847316015</c:v>
                </c:pt>
                <c:pt idx="8">
                  <c:v>687623.00742857135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EE-47DD-BCE0-0F000E47F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11552"/>
        <c:axId val="487810472"/>
      </c:scatterChart>
      <c:valAx>
        <c:axId val="4878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AF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0472"/>
        <c:crosses val="autoZero"/>
        <c:crossBetween val="midCat"/>
      </c:valAx>
      <c:valAx>
        <c:axId val="487810472"/>
        <c:scaling>
          <c:orientation val="minMax"/>
          <c:max val="700000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OPEX</a:t>
                </a:r>
                <a:r>
                  <a:rPr lang="en-US" baseline="0"/>
                  <a:t> per Month</a:t>
                </a:r>
                <a:r>
                  <a:rPr lang="en-US"/>
                  <a:t>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454469189180985"/>
          <c:y val="0.16448773078153339"/>
          <c:w val="0.2393438430650606"/>
          <c:h val="0.13690791037110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Water Production (w/ Jan. Rain)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Production w/o Flex.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'Modeled Costs'!$C$7:$N$7</c:f>
              <c:strCache>
                <c:ptCount val="12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'Modeled Costs'!$C$10:$N$10</c:f>
              <c:numCache>
                <c:formatCode>General</c:formatCode>
                <c:ptCount val="12"/>
                <c:pt idx="0">
                  <c:v>1307</c:v>
                </c:pt>
                <c:pt idx="1">
                  <c:v>2614</c:v>
                </c:pt>
                <c:pt idx="2">
                  <c:v>3921</c:v>
                </c:pt>
                <c:pt idx="3">
                  <c:v>5228</c:v>
                </c:pt>
                <c:pt idx="4">
                  <c:v>6535</c:v>
                </c:pt>
                <c:pt idx="5">
                  <c:v>7842</c:v>
                </c:pt>
                <c:pt idx="6">
                  <c:v>7842</c:v>
                </c:pt>
                <c:pt idx="7">
                  <c:v>9149</c:v>
                </c:pt>
                <c:pt idx="8">
                  <c:v>9969</c:v>
                </c:pt>
                <c:pt idx="9">
                  <c:v>9969</c:v>
                </c:pt>
                <c:pt idx="10">
                  <c:v>9969</c:v>
                </c:pt>
                <c:pt idx="11">
                  <c:v>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17-4A52-9046-107C8073727F}"/>
            </c:ext>
          </c:extLst>
        </c:ser>
        <c:ser>
          <c:idx val="1"/>
          <c:order val="1"/>
          <c:tx>
            <c:v>Flexible Summers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'Modeled Costs'!$C$7:$N$7</c:f>
              <c:strCache>
                <c:ptCount val="12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'Modeled Costs'!$C$14:$N$14</c:f>
              <c:numCache>
                <c:formatCode>General</c:formatCode>
                <c:ptCount val="12"/>
                <c:pt idx="0">
                  <c:v>986</c:v>
                </c:pt>
                <c:pt idx="1">
                  <c:v>1972</c:v>
                </c:pt>
                <c:pt idx="2">
                  <c:v>2958</c:v>
                </c:pt>
                <c:pt idx="3">
                  <c:v>4265</c:v>
                </c:pt>
                <c:pt idx="4">
                  <c:v>5408</c:v>
                </c:pt>
                <c:pt idx="5">
                  <c:v>6551</c:v>
                </c:pt>
                <c:pt idx="6">
                  <c:v>6551</c:v>
                </c:pt>
                <c:pt idx="7">
                  <c:v>7694</c:v>
                </c:pt>
                <c:pt idx="8">
                  <c:v>8837</c:v>
                </c:pt>
                <c:pt idx="9">
                  <c:v>9980</c:v>
                </c:pt>
                <c:pt idx="10">
                  <c:v>9980</c:v>
                </c:pt>
                <c:pt idx="11">
                  <c:v>9980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17-4A52-9046-107C80737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572648"/>
        <c:axId val="682565088"/>
        <c:extLst/>
      </c:lineChart>
      <c:catAx>
        <c:axId val="682572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65088"/>
        <c:crosses val="autoZero"/>
        <c:auto val="1"/>
        <c:lblAlgn val="ctr"/>
        <c:lblOffset val="100"/>
        <c:noMultiLvlLbl val="0"/>
      </c:catAx>
      <c:valAx>
        <c:axId val="68256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</a:t>
                </a:r>
                <a:r>
                  <a:rPr lang="en-US" baseline="0"/>
                  <a:t> Production (AF)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7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45776877104652"/>
          <c:y val="0.54613569774714954"/>
          <c:w val="0.25949496604147065"/>
          <c:h val="0.1177334360618183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for Summer Electricity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76145755534826"/>
          <c:y val="0.14844485902965002"/>
          <c:w val="0.71596328116028962"/>
          <c:h val="0.67416050435130637"/>
        </c:manualLayout>
      </c:layout>
      <c:scatterChart>
        <c:scatterStyle val="lineMarker"/>
        <c:varyColors val="0"/>
        <c:ser>
          <c:idx val="0"/>
          <c:order val="0"/>
          <c:tx>
            <c:v>Flexible Operations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'Modeled Costs'!$Q$60:$Q$68</c:f>
              <c:numCache>
                <c:formatCode>General</c:formatCode>
                <c:ptCount val="9"/>
                <c:pt idx="0">
                  <c:v>653.60975435751936</c:v>
                </c:pt>
                <c:pt idx="1">
                  <c:v>735.31097365220921</c:v>
                </c:pt>
                <c:pt idx="2">
                  <c:v>817.01219294689895</c:v>
                </c:pt>
                <c:pt idx="3">
                  <c:v>898.71590341073602</c:v>
                </c:pt>
                <c:pt idx="4">
                  <c:v>980.41463153627888</c:v>
                </c:pt>
                <c:pt idx="5">
                  <c:v>1062.1158508309688</c:v>
                </c:pt>
                <c:pt idx="6">
                  <c:v>1144.0680601077077</c:v>
                </c:pt>
                <c:pt idx="7">
                  <c:v>1225.5182896343147</c:v>
                </c:pt>
                <c:pt idx="8">
                  <c:v>1307.2265579940936</c:v>
                </c:pt>
              </c:numCache>
            </c:numRef>
          </c:xVal>
          <c:yVal>
            <c:numRef>
              <c:f>'Modeled Costs'!$T$60:$T$68</c:f>
              <c:numCache>
                <c:formatCode>General</c:formatCode>
                <c:ptCount val="9"/>
                <c:pt idx="0">
                  <c:v>99009.749699521271</c:v>
                </c:pt>
                <c:pt idx="1">
                  <c:v>99621.722271428574</c:v>
                </c:pt>
                <c:pt idx="2">
                  <c:v>113865.46884049798</c:v>
                </c:pt>
                <c:pt idx="3">
                  <c:v>125359.95162857142</c:v>
                </c:pt>
                <c:pt idx="4">
                  <c:v>136653.84428875244</c:v>
                </c:pt>
                <c:pt idx="5">
                  <c:v>140409.3302142857</c:v>
                </c:pt>
                <c:pt idx="6">
                  <c:v>154858.55154601627</c:v>
                </c:pt>
                <c:pt idx="7">
                  <c:v>162318.66366752356</c:v>
                </c:pt>
                <c:pt idx="8">
                  <c:v>192287.26969129886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2-4566-8C97-A15601950D86}"/>
            </c:ext>
          </c:extLst>
        </c:ser>
        <c:ser>
          <c:idx val="1"/>
          <c:order val="1"/>
          <c:tx>
            <c:v>One Shutdown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'Modeled Costs'!$Q$60:$Q$68</c:f>
              <c:numCache>
                <c:formatCode>General</c:formatCode>
                <c:ptCount val="9"/>
                <c:pt idx="0">
                  <c:v>653.60975435751936</c:v>
                </c:pt>
                <c:pt idx="1">
                  <c:v>735.31097365220921</c:v>
                </c:pt>
                <c:pt idx="2">
                  <c:v>817.01219294689895</c:v>
                </c:pt>
                <c:pt idx="3">
                  <c:v>898.71590341073602</c:v>
                </c:pt>
                <c:pt idx="4">
                  <c:v>980.41463153627888</c:v>
                </c:pt>
                <c:pt idx="5">
                  <c:v>1062.1158508309688</c:v>
                </c:pt>
                <c:pt idx="6">
                  <c:v>1144.0680601077077</c:v>
                </c:pt>
                <c:pt idx="7">
                  <c:v>1225.5182896343147</c:v>
                </c:pt>
                <c:pt idx="8">
                  <c:v>1307.2265579940936</c:v>
                </c:pt>
              </c:numCache>
            </c:numRef>
          </c:xVal>
          <c:yVal>
            <c:numRef>
              <c:f>'Modeled Costs'!$V$60:$V$68</c:f>
              <c:numCache>
                <c:formatCode>General</c:formatCode>
                <c:ptCount val="9"/>
                <c:pt idx="0">
                  <c:v>99009.749455198325</c:v>
                </c:pt>
                <c:pt idx="1">
                  <c:v>111346.66422926786</c:v>
                </c:pt>
                <c:pt idx="2">
                  <c:v>124309.79780110029</c:v>
                </c:pt>
                <c:pt idx="3">
                  <c:v>132954.54405867599</c:v>
                </c:pt>
                <c:pt idx="4">
                  <c:v>151965.71857084543</c:v>
                </c:pt>
                <c:pt idx="5">
                  <c:v>153228.46531289187</c:v>
                </c:pt>
                <c:pt idx="6">
                  <c:v>164270.90201764583</c:v>
                </c:pt>
                <c:pt idx="7">
                  <c:v>181244.68161428574</c:v>
                </c:pt>
                <c:pt idx="8">
                  <c:v>199364.41002873683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D2-4566-8C97-A15601950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11552"/>
        <c:axId val="487810472"/>
      </c:scatterChart>
      <c:valAx>
        <c:axId val="4878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Production</a:t>
                </a:r>
                <a:r>
                  <a:rPr lang="en-US" baseline="0"/>
                  <a:t> (</a:t>
                </a:r>
                <a:r>
                  <a:rPr lang="en-US"/>
                  <a:t>AF/Month)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0472"/>
        <c:crosses val="autoZero"/>
        <c:crossBetween val="midCat"/>
      </c:valAx>
      <c:valAx>
        <c:axId val="48781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Electricity Cost</a:t>
                </a:r>
                <a:r>
                  <a:rPr lang="en-US"/>
                  <a:t> ($/mon)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454469189180985"/>
          <c:y val="0.16448773078153339"/>
          <c:w val="0.23934715775914159"/>
          <c:h val="0.13334996728690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900 AF/month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'Modeled Costs'!$AP$6:$AP$11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'Modeled Costs'!$AX$6:$AX$11</c:f>
              <c:numCache>
                <c:formatCode>General</c:formatCode>
                <c:ptCount val="6"/>
                <c:pt idx="0">
                  <c:v>31022.727005230001</c:v>
                </c:pt>
                <c:pt idx="1">
                  <c:v>31022.726947024399</c:v>
                </c:pt>
                <c:pt idx="2">
                  <c:v>31022.726586716999</c:v>
                </c:pt>
                <c:pt idx="3">
                  <c:v>31022.726851467</c:v>
                </c:pt>
                <c:pt idx="4">
                  <c:v>31022.7263594248</c:v>
                </c:pt>
                <c:pt idx="5">
                  <c:v>28904.512017302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7D-4509-A359-3B498F7BB2F9}"/>
            </c:ext>
          </c:extLst>
        </c:ser>
        <c:ser>
          <c:idx val="1"/>
          <c:order val="1"/>
          <c:tx>
            <c:v>1060 AF/month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'Modeled Costs'!$AP$12:$AP$17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'Modeled Costs'!$AX$12:$AX$17</c:f>
              <c:numCache>
                <c:formatCode>General</c:formatCode>
                <c:ptCount val="6"/>
                <c:pt idx="0">
                  <c:v>36716.097372242002</c:v>
                </c:pt>
                <c:pt idx="1">
                  <c:v>35753.3085730081</c:v>
                </c:pt>
                <c:pt idx="2">
                  <c:v>36188.833035502998</c:v>
                </c:pt>
                <c:pt idx="3">
                  <c:v>34972.233588822201</c:v>
                </c:pt>
                <c:pt idx="4">
                  <c:v>32961.775843454598</c:v>
                </c:pt>
                <c:pt idx="5">
                  <c:v>32792.003586421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7D-4509-A359-3B498F7B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415288"/>
        <c:axId val="794416008"/>
      </c:scatterChart>
      <c:valAx>
        <c:axId val="794415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Weekly Shutdowns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16008"/>
        <c:crosses val="autoZero"/>
        <c:crossBetween val="midCat"/>
      </c:valAx>
      <c:valAx>
        <c:axId val="79441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Electricity</a:t>
                </a:r>
                <a:r>
                  <a:rPr lang="en-US" baseline="0"/>
                  <a:t> 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15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616692402906013"/>
          <c:y val="0.70467466819966462"/>
          <c:w val="0.21272072642163933"/>
          <c:h val="0.13635940485639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1314451</xdr:colOff>
      <xdr:row>18</xdr:row>
      <xdr:rowOff>60776</xdr:rowOff>
    </xdr:from>
    <xdr:to>
      <xdr:col>10</xdr:col>
      <xdr:colOff>162743</xdr:colOff>
      <xdr:row>38</xdr:row>
      <xdr:rowOff>17234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1EA63-3B0F-F1DD-D003-B74B8B1FE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353786</xdr:colOff>
      <xdr:row>18</xdr:row>
      <xdr:rowOff>87084</xdr:rowOff>
    </xdr:from>
    <xdr:to>
      <xdr:col>21</xdr:col>
      <xdr:colOff>236220</xdr:colOff>
      <xdr:row>38</xdr:row>
      <xdr:rowOff>43542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C9B249-C96F-45ED-879A-DA99AAEAE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84668</xdr:colOff>
      <xdr:row>17</xdr:row>
      <xdr:rowOff>70757</xdr:rowOff>
    </xdr:from>
    <xdr:to>
      <xdr:col>11</xdr:col>
      <xdr:colOff>622061</xdr:colOff>
      <xdr:row>37</xdr:row>
      <xdr:rowOff>27213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787B9-E18D-461E-B17F-1A8A31FC8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403680</xdr:colOff>
      <xdr:row>19</xdr:row>
      <xdr:rowOff>77787</xdr:rowOff>
    </xdr:from>
    <xdr:to>
      <xdr:col>23</xdr:col>
      <xdr:colOff>69851</xdr:colOff>
      <xdr:row>34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5FBDCF-0F60-F628-5C94-C9CAE710E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163285</xdr:colOff>
      <xdr:row>12</xdr:row>
      <xdr:rowOff>84367</xdr:rowOff>
    </xdr:from>
    <xdr:to>
      <xdr:col>30</xdr:col>
      <xdr:colOff>468085</xdr:colOff>
      <xdr:row>27</xdr:row>
      <xdr:rowOff>51710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B026B7-9718-4357-83FD-8E6173DDC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32658</xdr:colOff>
      <xdr:row>12</xdr:row>
      <xdr:rowOff>119742</xdr:rowOff>
    </xdr:from>
    <xdr:to>
      <xdr:col>36</xdr:col>
      <xdr:colOff>768803</xdr:colOff>
      <xdr:row>27</xdr:row>
      <xdr:rowOff>87085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3DF01E-7359-4983-B466-B235DF527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108554</xdr:colOff>
      <xdr:row>42</xdr:row>
      <xdr:rowOff>80282</xdr:rowOff>
    </xdr:from>
    <xdr:to>
      <xdr:col>30</xdr:col>
      <xdr:colOff>413354</xdr:colOff>
      <xdr:row>57</xdr:row>
      <xdr:rowOff>48535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673CE6-AD16-4902-ABDD-F2E64A54B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262696</xdr:colOff>
      <xdr:row>36</xdr:row>
      <xdr:rowOff>93436</xdr:rowOff>
    </xdr:from>
    <xdr:to>
      <xdr:col>23</xdr:col>
      <xdr:colOff>74839</xdr:colOff>
      <xdr:row>53</xdr:row>
      <xdr:rowOff>122463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5F5D90-E0A4-483D-9E95-DDEED94B6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598715</xdr:colOff>
      <xdr:row>37</xdr:row>
      <xdr:rowOff>96764</xdr:rowOff>
    </xdr:from>
    <xdr:to>
      <xdr:col>11</xdr:col>
      <xdr:colOff>550334</xdr:colOff>
      <xdr:row>57</xdr:row>
      <xdr:rowOff>18143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D804157-5AAE-4BFF-B725-22C9566AF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28726</xdr:colOff>
      <xdr:row>69</xdr:row>
      <xdr:rowOff>87767</xdr:rowOff>
    </xdr:from>
    <xdr:to>
      <xdr:col>24</xdr:col>
      <xdr:colOff>272293</xdr:colOff>
      <xdr:row>86</xdr:row>
      <xdr:rowOff>106817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1068008-C3DC-432C-8837-6A16402FA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324074</xdr:colOff>
      <xdr:row>20</xdr:row>
      <xdr:rowOff>114298</xdr:rowOff>
    </xdr:from>
    <xdr:to>
      <xdr:col>50</xdr:col>
      <xdr:colOff>598713</xdr:colOff>
      <xdr:row>43</xdr:row>
      <xdr:rowOff>54428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626D4D-EDFC-A937-AA9D-4065AAF35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urchill, Jake" id="{8EF0BFB0-E348-41F2-AE8F-0C5423FC918C}" userId="S::rchurchi@nrel.gov::24b6a320-1211-4379-9513-990e66715a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3" dT="2026-06-12T22:04:55.78" personId="{8EF0BFB0-E348-41F2-AE8F-0C5423FC918C}" id="{379F3306-7B9D-4E3D-A0A2-3BE1269BF62B}">
    <text>NOT ACTUALLY CONFIRMED YET</text>
  </threadedComment>
  <threadedComment ref="AP5" dT="2026-08-20T00:58:22.73" personId="{8EF0BFB0-E348-41F2-AE8F-0C5423FC918C}" id="{CDEE415F-F3E2-4825-A2C1-6D777471F0FD}">
    <text>Shutdowns = train op mode, not a full plant shutdown</text>
  </threadedComment>
  <threadedComment ref="B9" dT="2026-06-16T17:44:10.29" personId="{8EF0BFB0-E348-41F2-AE8F-0C5423FC918C}" id="{CC588DCD-D001-4384-8618-A7F1C60EB748}">
    <text>Maxing out production at beginning of year and using zero operational flexibility</text>
  </threadedComment>
  <threadedComment ref="B9" dT="2026-06-16T17:44:59.14" personId="{8EF0BFB0-E348-41F2-AE8F-0C5423FC918C}" id="{47F1B2C5-E851-4129-B2B7-47E2275C4F13}" parentId="{CC588DCD-D001-4384-8618-A7F1C60EB748}">
    <text>Note “no flex” is actually already lower cost than their current operations because they don’t operate to mitigate demand charges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001A-7560-4528-B9C4-403F98F24F29}">
  <dimension ref="B2:AB15"/>
  <sheetViews>
    <sheetView topLeftCell="B1" workbookViewId="0">
      <selection activeCell="B2" sqref="B2:N16"/>
    </sheetView>
  </sheetViews>
  <sheetFormatPr defaultRowHeight="14.6" x14ac:dyDescent="0.4"/>
  <cols>
    <col min="2" max="2" width="23.84375" customWidth="1"/>
  </cols>
  <sheetData>
    <row r="2" spans="2:28" x14ac:dyDescent="0.4">
      <c r="C2" s="7" t="s">
        <v>19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P2" s="7" t="s">
        <v>20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4" spans="2:28" x14ac:dyDescent="0.4">
      <c r="C4" t="s">
        <v>1</v>
      </c>
      <c r="D4" t="s">
        <v>2</v>
      </c>
      <c r="E4" t="s">
        <v>14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3</v>
      </c>
      <c r="N4" t="s">
        <v>13</v>
      </c>
      <c r="Q4" t="s">
        <v>1</v>
      </c>
      <c r="R4" t="s">
        <v>2</v>
      </c>
      <c r="S4" t="s">
        <v>14</v>
      </c>
      <c r="T4" t="s">
        <v>6</v>
      </c>
      <c r="U4" t="s">
        <v>7</v>
      </c>
      <c r="V4" t="s">
        <v>8</v>
      </c>
      <c r="W4" t="s">
        <v>9</v>
      </c>
      <c r="X4" t="s">
        <v>10</v>
      </c>
      <c r="Y4" t="s">
        <v>11</v>
      </c>
      <c r="Z4" t="s">
        <v>12</v>
      </c>
      <c r="AA4" t="s">
        <v>3</v>
      </c>
      <c r="AB4" t="s">
        <v>13</v>
      </c>
    </row>
    <row r="5" spans="2:28" x14ac:dyDescent="0.4">
      <c r="B5" t="s">
        <v>0</v>
      </c>
      <c r="C5">
        <v>1</v>
      </c>
      <c r="D5">
        <v>2</v>
      </c>
      <c r="E5">
        <v>3</v>
      </c>
      <c r="F5">
        <f>E5+1</f>
        <v>4</v>
      </c>
      <c r="G5">
        <f t="shared" ref="G5:N5" si="0">F5+1</f>
        <v>5</v>
      </c>
      <c r="H5">
        <f t="shared" si="0"/>
        <v>6</v>
      </c>
      <c r="I5">
        <f t="shared" si="0"/>
        <v>7</v>
      </c>
      <c r="J5">
        <f t="shared" si="0"/>
        <v>8</v>
      </c>
      <c r="K5">
        <f t="shared" si="0"/>
        <v>9</v>
      </c>
      <c r="L5">
        <f t="shared" si="0"/>
        <v>10</v>
      </c>
      <c r="M5">
        <f t="shared" si="0"/>
        <v>11</v>
      </c>
      <c r="N5">
        <f t="shared" si="0"/>
        <v>12</v>
      </c>
      <c r="P5" t="s">
        <v>0</v>
      </c>
      <c r="Q5">
        <v>1</v>
      </c>
      <c r="R5">
        <v>2</v>
      </c>
      <c r="S5">
        <v>3</v>
      </c>
      <c r="T5">
        <f>S5+1</f>
        <v>4</v>
      </c>
      <c r="U5">
        <f t="shared" ref="U5" si="1">T5+1</f>
        <v>5</v>
      </c>
      <c r="V5">
        <f t="shared" ref="V5" si="2">U5+1</f>
        <v>6</v>
      </c>
      <c r="W5">
        <f t="shared" ref="W5" si="3">V5+1</f>
        <v>7</v>
      </c>
      <c r="X5">
        <f t="shared" ref="X5" si="4">W5+1</f>
        <v>8</v>
      </c>
      <c r="Y5">
        <f t="shared" ref="Y5" si="5">X5+1</f>
        <v>9</v>
      </c>
      <c r="Z5">
        <f t="shared" ref="Z5" si="6">Y5+1</f>
        <v>10</v>
      </c>
      <c r="AA5">
        <f t="shared" ref="AA5" si="7">Z5+1</f>
        <v>11</v>
      </c>
      <c r="AB5">
        <f t="shared" ref="AB5" si="8">AA5+1</f>
        <v>12</v>
      </c>
    </row>
    <row r="6" spans="2:28" x14ac:dyDescent="0.4">
      <c r="B6" t="s">
        <v>15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P6" t="s">
        <v>15</v>
      </c>
      <c r="Q6">
        <v>1000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0</v>
      </c>
      <c r="X6">
        <v>1200</v>
      </c>
      <c r="Y6">
        <v>1200</v>
      </c>
      <c r="Z6">
        <v>1200</v>
      </c>
      <c r="AA6">
        <v>400</v>
      </c>
      <c r="AB6">
        <v>0</v>
      </c>
    </row>
    <row r="7" spans="2:28" x14ac:dyDescent="0.4">
      <c r="B7" t="s">
        <v>4</v>
      </c>
      <c r="C7">
        <f>C6</f>
        <v>1000</v>
      </c>
      <c r="D7">
        <f>D6+C7</f>
        <v>2000</v>
      </c>
      <c r="E7">
        <f t="shared" ref="E7:N7" si="9">E6+D7</f>
        <v>3000</v>
      </c>
      <c r="F7">
        <f t="shared" si="9"/>
        <v>4000</v>
      </c>
      <c r="G7">
        <f t="shared" si="9"/>
        <v>5000</v>
      </c>
      <c r="H7">
        <f t="shared" si="9"/>
        <v>6000</v>
      </c>
      <c r="I7">
        <f t="shared" si="9"/>
        <v>7000</v>
      </c>
      <c r="J7">
        <f t="shared" si="9"/>
        <v>8000</v>
      </c>
      <c r="K7">
        <f t="shared" si="9"/>
        <v>9000</v>
      </c>
      <c r="L7">
        <f t="shared" si="9"/>
        <v>10000</v>
      </c>
      <c r="M7">
        <f t="shared" si="9"/>
        <v>10000</v>
      </c>
      <c r="N7">
        <f t="shared" si="9"/>
        <v>10000</v>
      </c>
      <c r="P7" t="s">
        <v>4</v>
      </c>
      <c r="Q7">
        <f>Q6</f>
        <v>1000</v>
      </c>
      <c r="R7">
        <f>R6+Q7</f>
        <v>2000</v>
      </c>
      <c r="S7">
        <f t="shared" ref="S7" si="10">S6+R7</f>
        <v>3000</v>
      </c>
      <c r="T7">
        <f t="shared" ref="T7" si="11">T6+S7</f>
        <v>4000</v>
      </c>
      <c r="U7">
        <f t="shared" ref="U7" si="12">U6+T7</f>
        <v>5000</v>
      </c>
      <c r="V7">
        <f t="shared" ref="V7" si="13">V6+U7</f>
        <v>6000</v>
      </c>
      <c r="W7">
        <f t="shared" ref="W7" si="14">W6+V7</f>
        <v>6000</v>
      </c>
      <c r="X7">
        <f t="shared" ref="X7" si="15">X6+W7</f>
        <v>7200</v>
      </c>
      <c r="Y7">
        <f t="shared" ref="Y7" si="16">Y6+X7</f>
        <v>8400</v>
      </c>
      <c r="Z7">
        <f t="shared" ref="Z7" si="17">Z6+Y7</f>
        <v>9600</v>
      </c>
      <c r="AA7">
        <f t="shared" ref="AA7" si="18">AA6+Z7</f>
        <v>10000</v>
      </c>
      <c r="AB7">
        <f t="shared" ref="AB7" si="19">AB6+AA7</f>
        <v>10000</v>
      </c>
    </row>
    <row r="8" spans="2:28" x14ac:dyDescent="0.4">
      <c r="B8" t="s">
        <v>16</v>
      </c>
      <c r="C8">
        <v>1000</v>
      </c>
      <c r="D8">
        <v>0</v>
      </c>
      <c r="E8">
        <v>1000</v>
      </c>
      <c r="F8">
        <v>1000</v>
      </c>
      <c r="G8">
        <v>1000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0</v>
      </c>
      <c r="P8" t="s">
        <v>16</v>
      </c>
      <c r="Q8">
        <v>1000</v>
      </c>
      <c r="R8">
        <v>0</v>
      </c>
      <c r="S8">
        <v>1000</v>
      </c>
      <c r="T8">
        <v>1000</v>
      </c>
      <c r="U8">
        <v>1000</v>
      </c>
      <c r="V8">
        <v>1000</v>
      </c>
      <c r="W8">
        <v>0</v>
      </c>
      <c r="X8">
        <v>1200</v>
      </c>
      <c r="Y8">
        <v>1200</v>
      </c>
      <c r="Z8">
        <v>1200</v>
      </c>
      <c r="AA8">
        <v>1200</v>
      </c>
      <c r="AB8">
        <v>200</v>
      </c>
    </row>
    <row r="9" spans="2:28" x14ac:dyDescent="0.4">
      <c r="B9" t="s">
        <v>4</v>
      </c>
      <c r="C9">
        <f>C8</f>
        <v>1000</v>
      </c>
      <c r="D9">
        <f>D8+C9</f>
        <v>1000</v>
      </c>
      <c r="E9">
        <f t="shared" ref="E9" si="20">E8+D9</f>
        <v>2000</v>
      </c>
      <c r="F9">
        <f t="shared" ref="F9" si="21">F8+E9</f>
        <v>3000</v>
      </c>
      <c r="G9">
        <f t="shared" ref="G9" si="22">G8+F9</f>
        <v>4000</v>
      </c>
      <c r="H9">
        <f t="shared" ref="H9" si="23">H8+G9</f>
        <v>5000</v>
      </c>
      <c r="I9">
        <f t="shared" ref="I9" si="24">I8+H9</f>
        <v>6000</v>
      </c>
      <c r="J9">
        <f t="shared" ref="J9" si="25">J8+I9</f>
        <v>7000</v>
      </c>
      <c r="K9">
        <f t="shared" ref="K9" si="26">K8+J9</f>
        <v>8000</v>
      </c>
      <c r="L9">
        <f t="shared" ref="L9" si="27">L8+K9</f>
        <v>9000</v>
      </c>
      <c r="M9">
        <f t="shared" ref="M9" si="28">M8+L9</f>
        <v>10000</v>
      </c>
      <c r="N9">
        <f t="shared" ref="N9" si="29">N8+M9</f>
        <v>10000</v>
      </c>
      <c r="P9" t="s">
        <v>4</v>
      </c>
      <c r="Q9">
        <f>Q8</f>
        <v>1000</v>
      </c>
      <c r="R9">
        <f>R8+Q9</f>
        <v>1000</v>
      </c>
      <c r="S9">
        <f t="shared" ref="S9" si="30">S8+R9</f>
        <v>2000</v>
      </c>
      <c r="T9">
        <f t="shared" ref="T9" si="31">T8+S9</f>
        <v>3000</v>
      </c>
      <c r="U9">
        <f t="shared" ref="U9" si="32">U8+T9</f>
        <v>4000</v>
      </c>
      <c r="V9">
        <f t="shared" ref="V9" si="33">V8+U9</f>
        <v>5000</v>
      </c>
      <c r="W9">
        <f t="shared" ref="W9" si="34">W8+V9</f>
        <v>5000</v>
      </c>
      <c r="X9">
        <f t="shared" ref="X9" si="35">X8+W9</f>
        <v>6200</v>
      </c>
      <c r="Y9">
        <f t="shared" ref="Y9" si="36">Y8+X9</f>
        <v>7400</v>
      </c>
      <c r="Z9">
        <f t="shared" ref="Z9" si="37">Z8+Y9</f>
        <v>8600</v>
      </c>
      <c r="AA9">
        <f t="shared" ref="AA9" si="38">AA8+Z9</f>
        <v>9800</v>
      </c>
      <c r="AB9">
        <f t="shared" ref="AB9" si="39">AB8+AA9</f>
        <v>10000</v>
      </c>
    </row>
    <row r="10" spans="2:28" x14ac:dyDescent="0.4">
      <c r="B10" t="s">
        <v>5</v>
      </c>
      <c r="C10">
        <v>1000</v>
      </c>
      <c r="D10">
        <v>500</v>
      </c>
      <c r="E10">
        <v>1000</v>
      </c>
      <c r="F10">
        <v>1000</v>
      </c>
      <c r="G10">
        <v>1000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500</v>
      </c>
      <c r="N10">
        <v>0</v>
      </c>
      <c r="P10" t="s">
        <v>5</v>
      </c>
      <c r="Q10">
        <v>1000</v>
      </c>
      <c r="R10">
        <v>500</v>
      </c>
      <c r="S10">
        <v>1000</v>
      </c>
      <c r="T10">
        <v>1000</v>
      </c>
      <c r="U10">
        <v>1000</v>
      </c>
      <c r="V10">
        <v>1000</v>
      </c>
      <c r="W10">
        <v>0</v>
      </c>
      <c r="X10">
        <v>1200</v>
      </c>
      <c r="Y10">
        <v>1200</v>
      </c>
      <c r="Z10">
        <v>1200</v>
      </c>
      <c r="AA10">
        <v>900</v>
      </c>
      <c r="AB10">
        <v>0</v>
      </c>
    </row>
    <row r="11" spans="2:28" x14ac:dyDescent="0.4">
      <c r="B11" t="s">
        <v>4</v>
      </c>
      <c r="C11">
        <f>C10</f>
        <v>1000</v>
      </c>
      <c r="D11">
        <f>D10+C11</f>
        <v>1500</v>
      </c>
      <c r="E11">
        <f t="shared" ref="E11" si="40">E10+D11</f>
        <v>2500</v>
      </c>
      <c r="F11">
        <f t="shared" ref="F11" si="41">F10+E11</f>
        <v>3500</v>
      </c>
      <c r="G11">
        <f t="shared" ref="G11" si="42">G10+F11</f>
        <v>4500</v>
      </c>
      <c r="H11">
        <f t="shared" ref="H11" si="43">H10+G11</f>
        <v>5500</v>
      </c>
      <c r="I11">
        <f t="shared" ref="I11" si="44">I10+H11</f>
        <v>6500</v>
      </c>
      <c r="J11">
        <f t="shared" ref="J11" si="45">J10+I11</f>
        <v>7500</v>
      </c>
      <c r="K11">
        <f t="shared" ref="K11" si="46">K10+J11</f>
        <v>8500</v>
      </c>
      <c r="L11">
        <f t="shared" ref="L11" si="47">L10+K11</f>
        <v>9500</v>
      </c>
      <c r="M11">
        <f t="shared" ref="M11" si="48">M10+L11</f>
        <v>10000</v>
      </c>
      <c r="N11">
        <f t="shared" ref="N11" si="49">N10+M11</f>
        <v>10000</v>
      </c>
      <c r="P11" t="s">
        <v>4</v>
      </c>
      <c r="Q11">
        <f>Q10</f>
        <v>1000</v>
      </c>
      <c r="R11">
        <f>R10+Q11</f>
        <v>1500</v>
      </c>
      <c r="S11">
        <f t="shared" ref="S11" si="50">S10+R11</f>
        <v>2500</v>
      </c>
      <c r="T11">
        <f t="shared" ref="T11" si="51">T10+S11</f>
        <v>3500</v>
      </c>
      <c r="U11">
        <f t="shared" ref="U11" si="52">U10+T11</f>
        <v>4500</v>
      </c>
      <c r="V11">
        <f t="shared" ref="V11" si="53">V10+U11</f>
        <v>5500</v>
      </c>
      <c r="W11">
        <f t="shared" ref="W11" si="54">W10+V11</f>
        <v>5500</v>
      </c>
      <c r="X11">
        <f t="shared" ref="X11" si="55">X10+W11</f>
        <v>6700</v>
      </c>
      <c r="Y11">
        <f t="shared" ref="Y11" si="56">Y10+X11</f>
        <v>7900</v>
      </c>
      <c r="Z11">
        <f t="shared" ref="Z11" si="57">Z10+Y11</f>
        <v>9100</v>
      </c>
      <c r="AA11">
        <f t="shared" ref="AA11" si="58">AA10+Z11</f>
        <v>10000</v>
      </c>
      <c r="AB11">
        <f t="shared" ref="AB11" si="59">AB10+AA11</f>
        <v>10000</v>
      </c>
    </row>
    <row r="12" spans="2:28" x14ac:dyDescent="0.4">
      <c r="B12" t="s">
        <v>17</v>
      </c>
      <c r="C12">
        <v>1000</v>
      </c>
      <c r="D12">
        <v>500</v>
      </c>
      <c r="E12">
        <v>1000</v>
      </c>
      <c r="F12">
        <v>1100</v>
      </c>
      <c r="G12">
        <v>1100</v>
      </c>
      <c r="H12">
        <v>1100</v>
      </c>
      <c r="I12">
        <v>1100</v>
      </c>
      <c r="J12">
        <v>1100</v>
      </c>
      <c r="K12">
        <v>1000</v>
      </c>
      <c r="L12">
        <v>1000</v>
      </c>
      <c r="M12">
        <v>0</v>
      </c>
      <c r="N12">
        <v>0</v>
      </c>
      <c r="P12" t="s">
        <v>17</v>
      </c>
      <c r="Q12">
        <v>1000</v>
      </c>
      <c r="R12">
        <v>500</v>
      </c>
      <c r="S12">
        <v>1000</v>
      </c>
      <c r="T12">
        <v>1100</v>
      </c>
      <c r="U12">
        <v>1100</v>
      </c>
      <c r="V12">
        <v>1100</v>
      </c>
      <c r="W12">
        <v>0</v>
      </c>
      <c r="X12">
        <v>1100</v>
      </c>
      <c r="Y12">
        <v>1000</v>
      </c>
      <c r="Z12">
        <v>1000</v>
      </c>
      <c r="AA12">
        <v>1100</v>
      </c>
      <c r="AB12">
        <v>0</v>
      </c>
    </row>
    <row r="13" spans="2:28" x14ac:dyDescent="0.4">
      <c r="B13" t="s">
        <v>4</v>
      </c>
      <c r="C13">
        <f>C12</f>
        <v>1000</v>
      </c>
      <c r="D13">
        <f>D12+C13</f>
        <v>1500</v>
      </c>
      <c r="E13">
        <f t="shared" ref="E13" si="60">E12+D13</f>
        <v>2500</v>
      </c>
      <c r="F13">
        <f t="shared" ref="F13" si="61">F12+E13</f>
        <v>3600</v>
      </c>
      <c r="G13">
        <f t="shared" ref="G13" si="62">G12+F13</f>
        <v>4700</v>
      </c>
      <c r="H13">
        <f t="shared" ref="H13" si="63">H12+G13</f>
        <v>5800</v>
      </c>
      <c r="I13">
        <f t="shared" ref="I13" si="64">I12+H13</f>
        <v>6900</v>
      </c>
      <c r="J13">
        <f t="shared" ref="J13" si="65">J12+I13</f>
        <v>8000</v>
      </c>
      <c r="K13">
        <f t="shared" ref="K13" si="66">K12+J13</f>
        <v>9000</v>
      </c>
      <c r="L13">
        <f t="shared" ref="L13" si="67">L12+K13</f>
        <v>10000</v>
      </c>
      <c r="M13">
        <f t="shared" ref="M13" si="68">M12+L13</f>
        <v>10000</v>
      </c>
      <c r="N13">
        <f t="shared" ref="N13" si="69">N12+M13</f>
        <v>10000</v>
      </c>
      <c r="P13" t="s">
        <v>4</v>
      </c>
      <c r="Q13">
        <f>Q12</f>
        <v>1000</v>
      </c>
      <c r="R13">
        <f>R12+Q13</f>
        <v>1500</v>
      </c>
      <c r="S13">
        <f t="shared" ref="S13" si="70">S12+R13</f>
        <v>2500</v>
      </c>
      <c r="T13">
        <f t="shared" ref="T13" si="71">T12+S13</f>
        <v>3600</v>
      </c>
      <c r="U13">
        <f t="shared" ref="U13" si="72">U12+T13</f>
        <v>4700</v>
      </c>
      <c r="V13">
        <f t="shared" ref="V13" si="73">V12+U13</f>
        <v>5800</v>
      </c>
      <c r="W13">
        <f t="shared" ref="W13" si="74">W12+V13</f>
        <v>5800</v>
      </c>
      <c r="X13">
        <f t="shared" ref="X13" si="75">X12+W13</f>
        <v>6900</v>
      </c>
      <c r="Y13">
        <f t="shared" ref="Y13" si="76">Y12+X13</f>
        <v>7900</v>
      </c>
      <c r="Z13">
        <f t="shared" ref="Z13" si="77">Z12+Y13</f>
        <v>8900</v>
      </c>
      <c r="AA13">
        <f t="shared" ref="AA13" si="78">AA12+Z13</f>
        <v>10000</v>
      </c>
      <c r="AB13">
        <f t="shared" ref="AB13" si="79">AB12+AA13</f>
        <v>10000</v>
      </c>
    </row>
    <row r="14" spans="2:28" x14ac:dyDescent="0.4">
      <c r="B14" t="s">
        <v>18</v>
      </c>
      <c r="C14">
        <v>0</v>
      </c>
      <c r="D14">
        <v>0</v>
      </c>
      <c r="E14">
        <v>600</v>
      </c>
      <c r="F14">
        <v>1200</v>
      </c>
      <c r="G14">
        <v>1200</v>
      </c>
      <c r="H14">
        <v>1200</v>
      </c>
      <c r="I14">
        <v>1200</v>
      </c>
      <c r="J14">
        <v>1200</v>
      </c>
      <c r="K14">
        <v>1200</v>
      </c>
      <c r="L14">
        <v>1200</v>
      </c>
      <c r="M14">
        <v>1000</v>
      </c>
      <c r="N14">
        <v>0</v>
      </c>
      <c r="P14" t="s">
        <v>18</v>
      </c>
      <c r="Q14">
        <v>0</v>
      </c>
      <c r="R14">
        <v>0</v>
      </c>
      <c r="S14">
        <v>600</v>
      </c>
      <c r="T14">
        <v>1200</v>
      </c>
      <c r="U14">
        <v>1200</v>
      </c>
      <c r="V14">
        <v>1200</v>
      </c>
      <c r="W14">
        <v>0</v>
      </c>
      <c r="X14">
        <v>1200</v>
      </c>
      <c r="Y14">
        <v>1200</v>
      </c>
      <c r="Z14">
        <v>1200</v>
      </c>
      <c r="AA14">
        <v>1200</v>
      </c>
      <c r="AB14">
        <v>1000</v>
      </c>
    </row>
    <row r="15" spans="2:28" x14ac:dyDescent="0.4">
      <c r="B15" t="s">
        <v>4</v>
      </c>
      <c r="C15">
        <f>C14</f>
        <v>0</v>
      </c>
      <c r="D15">
        <f>D14+C15</f>
        <v>0</v>
      </c>
      <c r="E15">
        <f t="shared" ref="E15:N15" si="80">E14+D15</f>
        <v>600</v>
      </c>
      <c r="F15">
        <f t="shared" si="80"/>
        <v>1800</v>
      </c>
      <c r="G15">
        <f t="shared" si="80"/>
        <v>3000</v>
      </c>
      <c r="H15">
        <f t="shared" si="80"/>
        <v>4200</v>
      </c>
      <c r="I15">
        <f t="shared" si="80"/>
        <v>5400</v>
      </c>
      <c r="J15">
        <f t="shared" si="80"/>
        <v>6600</v>
      </c>
      <c r="K15">
        <f t="shared" si="80"/>
        <v>7800</v>
      </c>
      <c r="L15">
        <f t="shared" si="80"/>
        <v>9000</v>
      </c>
      <c r="M15">
        <f t="shared" si="80"/>
        <v>10000</v>
      </c>
      <c r="N15">
        <f t="shared" si="80"/>
        <v>10000</v>
      </c>
      <c r="P15" t="s">
        <v>4</v>
      </c>
      <c r="Q15">
        <f>Q14</f>
        <v>0</v>
      </c>
      <c r="R15">
        <f>R14+Q15</f>
        <v>0</v>
      </c>
      <c r="S15">
        <f t="shared" ref="S15" si="81">S14+R15</f>
        <v>600</v>
      </c>
      <c r="T15">
        <f t="shared" ref="T15" si="82">T14+S15</f>
        <v>1800</v>
      </c>
      <c r="U15">
        <f t="shared" ref="U15" si="83">U14+T15</f>
        <v>3000</v>
      </c>
      <c r="V15">
        <f t="shared" ref="V15" si="84">V14+U15</f>
        <v>4200</v>
      </c>
      <c r="W15">
        <f t="shared" ref="W15" si="85">W14+V15</f>
        <v>4200</v>
      </c>
      <c r="X15">
        <f t="shared" ref="X15" si="86">X14+W15</f>
        <v>5400</v>
      </c>
      <c r="Y15">
        <f t="shared" ref="Y15" si="87">Y14+X15</f>
        <v>6600</v>
      </c>
      <c r="Z15">
        <f t="shared" ref="Z15" si="88">Z14+Y15</f>
        <v>7800</v>
      </c>
      <c r="AA15">
        <f t="shared" ref="AA15" si="89">AA14+Z15</f>
        <v>9000</v>
      </c>
      <c r="AB15">
        <f t="shared" ref="AB15" si="90">AB14+AA15</f>
        <v>10000</v>
      </c>
    </row>
  </sheetData>
  <mergeCells count="2">
    <mergeCell ref="C2:N2"/>
    <mergeCell ref="P2:AB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24DE-0357-403E-9E88-9808FEC167BA}">
  <dimension ref="B3:BA68"/>
  <sheetViews>
    <sheetView tabSelected="1" topLeftCell="I1" zoomScale="80" zoomScaleNormal="80" workbookViewId="0">
      <selection activeCell="T7" sqref="T7"/>
    </sheetView>
  </sheetViews>
  <sheetFormatPr defaultRowHeight="14.6" x14ac:dyDescent="0.4"/>
  <cols>
    <col min="2" max="2" width="16.3828125" customWidth="1"/>
    <col min="16" max="16" width="3.07421875" style="1" customWidth="1"/>
    <col min="18" max="18" width="10.23046875" customWidth="1"/>
    <col min="19" max="19" width="14.3828125" customWidth="1"/>
    <col min="20" max="21" width="14" customWidth="1"/>
    <col min="29" max="29" width="14.15234375" customWidth="1"/>
    <col min="33" max="33" width="11.84375" bestFit="1" customWidth="1"/>
    <col min="34" max="34" width="17.84375" bestFit="1" customWidth="1"/>
    <col min="35" max="35" width="12.15234375" customWidth="1"/>
    <col min="36" max="36" width="11.84375" bestFit="1" customWidth="1"/>
    <col min="37" max="37" width="13.84375" bestFit="1" customWidth="1"/>
    <col min="39" max="39" width="5.23046875" style="1" customWidth="1"/>
  </cols>
  <sheetData>
    <row r="3" spans="2:53" x14ac:dyDescent="0.4">
      <c r="U3" s="2" t="s">
        <v>26</v>
      </c>
      <c r="V3">
        <v>121551</v>
      </c>
      <c r="AO3" t="s">
        <v>43</v>
      </c>
    </row>
    <row r="4" spans="2:53" x14ac:dyDescent="0.4">
      <c r="S4" t="s">
        <v>22</v>
      </c>
    </row>
    <row r="5" spans="2:53" x14ac:dyDescent="0.4">
      <c r="C5" s="7" t="s">
        <v>34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S5" t="s">
        <v>33</v>
      </c>
      <c r="Z5" t="s">
        <v>36</v>
      </c>
      <c r="AH5" t="s">
        <v>35</v>
      </c>
      <c r="AO5" t="s">
        <v>42</v>
      </c>
      <c r="AP5" t="s">
        <v>44</v>
      </c>
      <c r="AQ5" t="s">
        <v>45</v>
      </c>
      <c r="AR5" t="s">
        <v>46</v>
      </c>
      <c r="AS5" t="s">
        <v>47</v>
      </c>
      <c r="AT5" t="s">
        <v>48</v>
      </c>
      <c r="AU5" t="s">
        <v>49</v>
      </c>
      <c r="AV5" t="s">
        <v>50</v>
      </c>
      <c r="AW5" t="s">
        <v>51</v>
      </c>
      <c r="AX5" t="s">
        <v>52</v>
      </c>
      <c r="AY5" t="s">
        <v>53</v>
      </c>
      <c r="AZ5" t="s">
        <v>54</v>
      </c>
      <c r="BA5" t="s">
        <v>55</v>
      </c>
    </row>
    <row r="6" spans="2:53" x14ac:dyDescent="0.4">
      <c r="Q6" t="s">
        <v>42</v>
      </c>
      <c r="R6" t="s">
        <v>37</v>
      </c>
      <c r="S6" t="s">
        <v>24</v>
      </c>
      <c r="T6" t="s">
        <v>32</v>
      </c>
      <c r="U6" t="s">
        <v>23</v>
      </c>
      <c r="V6" t="s">
        <v>25</v>
      </c>
      <c r="Y6" t="s">
        <v>37</v>
      </c>
      <c r="Z6" t="s">
        <v>24</v>
      </c>
      <c r="AA6" t="s">
        <v>32</v>
      </c>
      <c r="AB6" t="s">
        <v>23</v>
      </c>
      <c r="AC6" t="s">
        <v>25</v>
      </c>
      <c r="AG6" t="s">
        <v>37</v>
      </c>
      <c r="AH6" t="s">
        <v>24</v>
      </c>
      <c r="AI6" t="s">
        <v>32</v>
      </c>
      <c r="AJ6" t="s">
        <v>23</v>
      </c>
      <c r="AK6" t="s">
        <v>25</v>
      </c>
      <c r="AO6">
        <v>11000</v>
      </c>
      <c r="AP6">
        <v>0</v>
      </c>
      <c r="AQ6">
        <v>258664.69865974601</v>
      </c>
      <c r="AR6">
        <v>232007.099569971</v>
      </c>
      <c r="AS6">
        <v>18466.267436345999</v>
      </c>
      <c r="AT6">
        <v>12556.4595688839</v>
      </c>
      <c r="AU6">
        <v>46890.784288343602</v>
      </c>
      <c r="AV6">
        <v>14793.1623512326</v>
      </c>
      <c r="AW6">
        <v>17748.443398283402</v>
      </c>
      <c r="AX6">
        <v>31022.727005230001</v>
      </c>
      <c r="AY6">
        <v>992.31070788530405</v>
      </c>
      <c r="AZ6">
        <v>0</v>
      </c>
      <c r="BA6">
        <v>0.89694148746272895</v>
      </c>
    </row>
    <row r="7" spans="2:53" x14ac:dyDescent="0.4">
      <c r="B7" s="3" t="s">
        <v>0</v>
      </c>
      <c r="C7" s="4" t="s">
        <v>1</v>
      </c>
      <c r="D7" s="4" t="s">
        <v>2</v>
      </c>
      <c r="E7" s="4" t="s">
        <v>14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3</v>
      </c>
      <c r="N7" s="4" t="s">
        <v>13</v>
      </c>
      <c r="Q7">
        <v>8000</v>
      </c>
      <c r="R7" s="6">
        <v>188119.78080000001</v>
      </c>
      <c r="S7" s="6">
        <v>201617.2697</v>
      </c>
      <c r="T7" s="6">
        <f>S7-$V$3</f>
        <v>80066.269700000004</v>
      </c>
      <c r="U7">
        <f>R7/1233.5*30/7</f>
        <v>653.60975435751936</v>
      </c>
      <c r="V7">
        <f>T7*30/7</f>
        <v>343141.15585714288</v>
      </c>
      <c r="X7">
        <v>8000</v>
      </c>
      <c r="Y7">
        <v>188119.78084291599</v>
      </c>
      <c r="Z7">
        <v>201617.26777811299</v>
      </c>
      <c r="AA7">
        <f>Z7-$V$3</f>
        <v>80066.26777811299</v>
      </c>
      <c r="AB7">
        <f>Y7/1233.5*30/7</f>
        <v>653.60975450662795</v>
      </c>
      <c r="AC7">
        <f>AA7*30/7</f>
        <v>343141.14762048423</v>
      </c>
      <c r="AG7" s="6">
        <v>188119.78084509599</v>
      </c>
      <c r="AH7">
        <v>195648.76172563501</v>
      </c>
      <c r="AI7" s="6">
        <f>AH7-$V$3</f>
        <v>74097.761725635006</v>
      </c>
      <c r="AJ7">
        <f>AG7/1233.5*30/7</f>
        <v>653.60975451420222</v>
      </c>
      <c r="AK7">
        <f>AI7*30/7</f>
        <v>317561.83596700715</v>
      </c>
      <c r="AO7">
        <v>11000</v>
      </c>
      <c r="AP7">
        <v>1</v>
      </c>
      <c r="AQ7">
        <v>258664.69865969699</v>
      </c>
      <c r="AR7">
        <v>232007.099511776</v>
      </c>
      <c r="AS7">
        <v>18466.267378141099</v>
      </c>
      <c r="AT7">
        <v>12556.4595688833</v>
      </c>
      <c r="AU7">
        <v>46890.784288344097</v>
      </c>
      <c r="AV7">
        <v>14793.1623512444</v>
      </c>
      <c r="AW7">
        <v>17748.443398282001</v>
      </c>
      <c r="AX7">
        <v>31022.726947024399</v>
      </c>
      <c r="AY7">
        <v>992.31070788530405</v>
      </c>
      <c r="AZ7">
        <v>0</v>
      </c>
      <c r="BA7">
        <v>0.896941487237917</v>
      </c>
    </row>
    <row r="8" spans="2:53" x14ac:dyDescent="0.4">
      <c r="C8">
        <v>1</v>
      </c>
      <c r="D8">
        <v>2</v>
      </c>
      <c r="E8">
        <v>3</v>
      </c>
      <c r="F8">
        <f>E8+1</f>
        <v>4</v>
      </c>
      <c r="G8">
        <f t="shared" ref="G8:N8" si="0">F8+1</f>
        <v>5</v>
      </c>
      <c r="H8">
        <f t="shared" si="0"/>
        <v>6</v>
      </c>
      <c r="I8">
        <f t="shared" si="0"/>
        <v>7</v>
      </c>
      <c r="J8">
        <f t="shared" si="0"/>
        <v>8</v>
      </c>
      <c r="K8">
        <f t="shared" si="0"/>
        <v>9</v>
      </c>
      <c r="L8">
        <f t="shared" si="0"/>
        <v>10</v>
      </c>
      <c r="M8">
        <f t="shared" si="0"/>
        <v>11</v>
      </c>
      <c r="N8">
        <f t="shared" si="0"/>
        <v>12</v>
      </c>
      <c r="Q8">
        <v>9000</v>
      </c>
      <c r="R8" s="6">
        <v>211634.75339999999</v>
      </c>
      <c r="S8" s="6">
        <v>210740.57440000001</v>
      </c>
      <c r="T8" s="6">
        <f t="shared" ref="T8:T14" si="1">S8-$V$3</f>
        <v>89189.574400000012</v>
      </c>
      <c r="U8">
        <f t="shared" ref="U8:U14" si="2">R8/1233.5*30/7</f>
        <v>735.31097365220921</v>
      </c>
      <c r="V8">
        <f t="shared" ref="V8:V14" si="3">T8*30/7</f>
        <v>382241.0331428572</v>
      </c>
      <c r="X8">
        <v>10000</v>
      </c>
      <c r="Y8">
        <v>279720</v>
      </c>
      <c r="Z8">
        <v>240480.56308564299</v>
      </c>
      <c r="AA8">
        <f t="shared" ref="AA8:AA11" si="4">Z8-$V$3</f>
        <v>118929.56308564299</v>
      </c>
      <c r="AB8">
        <f t="shared" ref="AB8:AB11" si="5">Y8/1233.5*30/7</f>
        <v>971.8686663964329</v>
      </c>
      <c r="AC8">
        <f>AA8*30/7</f>
        <v>509698.12750989851</v>
      </c>
      <c r="AG8" s="6">
        <v>236075</v>
      </c>
      <c r="AH8">
        <v>215765.27735091501</v>
      </c>
      <c r="AI8" s="6">
        <f t="shared" ref="AI8:AI11" si="6">AH8-$V$3</f>
        <v>94214.277350915014</v>
      </c>
      <c r="AJ8">
        <f t="shared" ref="AJ8:AJ11" si="7">AG8/1233.5*30/7</f>
        <v>820.22699635184438</v>
      </c>
      <c r="AK8">
        <f t="shared" ref="AK8:AK11" si="8">AI8*30/7</f>
        <v>403775.47436106432</v>
      </c>
      <c r="AO8">
        <v>11000</v>
      </c>
      <c r="AP8">
        <v>2</v>
      </c>
      <c r="AQ8">
        <v>258664.698630136</v>
      </c>
      <c r="AR8">
        <v>232007.09455423799</v>
      </c>
      <c r="AS8">
        <v>18466.2671517175</v>
      </c>
      <c r="AT8">
        <v>12556.4594349994</v>
      </c>
      <c r="AU8">
        <v>46890.7831050229</v>
      </c>
      <c r="AV8">
        <v>14793.1591837899</v>
      </c>
      <c r="AW8">
        <v>17748.443151826501</v>
      </c>
      <c r="AX8">
        <v>31022.726586716999</v>
      </c>
      <c r="AY8">
        <v>992.31070788530405</v>
      </c>
      <c r="AZ8">
        <v>0</v>
      </c>
      <c r="BA8">
        <v>0.89694146817453502</v>
      </c>
    </row>
    <row r="9" spans="2:53" x14ac:dyDescent="0.4">
      <c r="B9" s="3" t="s">
        <v>21</v>
      </c>
      <c r="C9">
        <v>1307</v>
      </c>
      <c r="D9">
        <v>1307</v>
      </c>
      <c r="E9">
        <v>1307</v>
      </c>
      <c r="F9">
        <v>1307</v>
      </c>
      <c r="G9">
        <v>1307</v>
      </c>
      <c r="H9">
        <v>1307</v>
      </c>
      <c r="I9">
        <v>0</v>
      </c>
      <c r="J9">
        <v>1307</v>
      </c>
      <c r="K9">
        <v>820</v>
      </c>
      <c r="L9">
        <v>0</v>
      </c>
      <c r="M9">
        <v>0</v>
      </c>
      <c r="N9">
        <v>0</v>
      </c>
      <c r="Q9">
        <v>10000</v>
      </c>
      <c r="R9" s="6">
        <v>235149.726</v>
      </c>
      <c r="S9" s="6">
        <v>220205.54380000001</v>
      </c>
      <c r="T9" s="6">
        <f t="shared" si="1"/>
        <v>98654.543800000014</v>
      </c>
      <c r="U9">
        <f t="shared" si="2"/>
        <v>817.01219294689895</v>
      </c>
      <c r="V9">
        <f t="shared" si="3"/>
        <v>422805.18771428574</v>
      </c>
      <c r="X9">
        <v>12000</v>
      </c>
      <c r="Y9">
        <v>282179.67123287602</v>
      </c>
      <c r="Z9">
        <v>241650.54103351699</v>
      </c>
      <c r="AA9">
        <f t="shared" si="4"/>
        <v>120099.54103351699</v>
      </c>
      <c r="AB9">
        <f t="shared" si="5"/>
        <v>980.41463165050448</v>
      </c>
      <c r="AC9">
        <f>AA9*30/7</f>
        <v>514712.31871507276</v>
      </c>
      <c r="AG9" s="6">
        <v>282179.67125493102</v>
      </c>
      <c r="AH9">
        <v>233294.366687267</v>
      </c>
      <c r="AI9" s="6">
        <f t="shared" si="6"/>
        <v>111743.366687267</v>
      </c>
      <c r="AJ9">
        <f t="shared" si="7"/>
        <v>980.41463172713304</v>
      </c>
      <c r="AK9">
        <f t="shared" si="8"/>
        <v>478900.14294542995</v>
      </c>
      <c r="AO9">
        <v>11000</v>
      </c>
      <c r="AP9">
        <v>3</v>
      </c>
      <c r="AQ9">
        <v>258664.69865956801</v>
      </c>
      <c r="AR9">
        <v>232007.09946203799</v>
      </c>
      <c r="AS9">
        <v>18466.267280947999</v>
      </c>
      <c r="AT9">
        <v>12556.459570519</v>
      </c>
      <c r="AU9">
        <v>46890.784299621999</v>
      </c>
      <c r="AV9">
        <v>14793.1623834492</v>
      </c>
      <c r="AW9">
        <v>17748.4434006181</v>
      </c>
      <c r="AX9">
        <v>31022.726851467</v>
      </c>
      <c r="AY9">
        <v>992.31070788530405</v>
      </c>
      <c r="AZ9">
        <v>0</v>
      </c>
      <c r="BA9">
        <v>0.89694148704607501</v>
      </c>
    </row>
    <row r="10" spans="2:53" x14ac:dyDescent="0.4">
      <c r="B10" t="s">
        <v>28</v>
      </c>
      <c r="C10">
        <f>C9</f>
        <v>1307</v>
      </c>
      <c r="D10">
        <f>D9+C10</f>
        <v>2614</v>
      </c>
      <c r="E10">
        <f t="shared" ref="E10:N10" si="9">E9+D10</f>
        <v>3921</v>
      </c>
      <c r="F10">
        <f t="shared" si="9"/>
        <v>5228</v>
      </c>
      <c r="G10">
        <f t="shared" si="9"/>
        <v>6535</v>
      </c>
      <c r="H10">
        <f t="shared" si="9"/>
        <v>7842</v>
      </c>
      <c r="I10">
        <f t="shared" si="9"/>
        <v>7842</v>
      </c>
      <c r="J10">
        <f t="shared" si="9"/>
        <v>9149</v>
      </c>
      <c r="K10">
        <f t="shared" si="9"/>
        <v>9969</v>
      </c>
      <c r="L10">
        <f t="shared" si="9"/>
        <v>9969</v>
      </c>
      <c r="M10">
        <f t="shared" si="9"/>
        <v>9969</v>
      </c>
      <c r="N10">
        <f t="shared" si="9"/>
        <v>9969</v>
      </c>
      <c r="Q10">
        <v>11000</v>
      </c>
      <c r="R10" s="6">
        <v>258665.41560000001</v>
      </c>
      <c r="S10" s="6">
        <v>229216.2788</v>
      </c>
      <c r="T10" s="6">
        <f t="shared" si="1"/>
        <v>107665.2788</v>
      </c>
      <c r="U10">
        <f t="shared" si="2"/>
        <v>898.71590341073602</v>
      </c>
      <c r="V10">
        <f t="shared" si="3"/>
        <v>461422.62342857145</v>
      </c>
      <c r="X10">
        <v>14000</v>
      </c>
      <c r="Y10">
        <v>372960.01726066403</v>
      </c>
      <c r="Z10">
        <v>280382.83601349598</v>
      </c>
      <c r="AA10">
        <f t="shared" si="4"/>
        <v>158831.83601349598</v>
      </c>
      <c r="AB10">
        <f t="shared" si="5"/>
        <v>1295.8249484996143</v>
      </c>
      <c r="AC10">
        <f>AA10*30/7</f>
        <v>680707.86862926849</v>
      </c>
      <c r="AG10" s="6">
        <v>329242.04908676498</v>
      </c>
      <c r="AH10">
        <v>252044.54975234199</v>
      </c>
      <c r="AI10" s="6">
        <f t="shared" si="6"/>
        <v>130493.54975234199</v>
      </c>
      <c r="AJ10">
        <f t="shared" si="7"/>
        <v>1143.9297553538652</v>
      </c>
      <c r="AK10">
        <f t="shared" si="8"/>
        <v>559258.07036717993</v>
      </c>
      <c r="AO10">
        <v>11000</v>
      </c>
      <c r="AP10">
        <v>4</v>
      </c>
      <c r="AQ10">
        <v>258664.69864731299</v>
      </c>
      <c r="AR10">
        <v>232007.098929033</v>
      </c>
      <c r="AS10">
        <v>18466.266790543101</v>
      </c>
      <c r="AT10">
        <v>12556.459568881701</v>
      </c>
      <c r="AU10">
        <v>46890.784288776798</v>
      </c>
      <c r="AV10">
        <v>14793.162355962</v>
      </c>
      <c r="AW10">
        <v>17748.4433979879</v>
      </c>
      <c r="AX10">
        <v>31022.7263594248</v>
      </c>
      <c r="AY10">
        <v>992.31070788530405</v>
      </c>
      <c r="AZ10">
        <v>0</v>
      </c>
      <c r="BA10">
        <v>0.896941485027969</v>
      </c>
    </row>
    <row r="11" spans="2:53" x14ac:dyDescent="0.4">
      <c r="B11" t="s">
        <v>27</v>
      </c>
      <c r="C11">
        <f>AC11</f>
        <v>687622.98458399589</v>
      </c>
      <c r="D11">
        <f>C11</f>
        <v>687622.98458399589</v>
      </c>
      <c r="E11">
        <f>D11</f>
        <v>687622.98458399589</v>
      </c>
      <c r="F11">
        <f>AK11</f>
        <v>645931.21653504425</v>
      </c>
      <c r="G11">
        <f>F11</f>
        <v>645931.21653504425</v>
      </c>
      <c r="H11">
        <f>G11</f>
        <v>645931.21653504425</v>
      </c>
      <c r="I11">
        <f t="shared" ref="I11" si="10">AN10</f>
        <v>0</v>
      </c>
      <c r="J11">
        <f>H11</f>
        <v>645931.21653504425</v>
      </c>
      <c r="K11">
        <f>AK8</f>
        <v>403775.47436106432</v>
      </c>
      <c r="L11">
        <v>0</v>
      </c>
      <c r="M11">
        <v>0</v>
      </c>
      <c r="N11">
        <v>0</v>
      </c>
      <c r="Q11">
        <v>12000</v>
      </c>
      <c r="R11" s="6">
        <v>282179.67119999998</v>
      </c>
      <c r="S11" s="6">
        <v>239283.03289999999</v>
      </c>
      <c r="T11" s="6">
        <f t="shared" si="1"/>
        <v>117732.03289999999</v>
      </c>
      <c r="U11">
        <f t="shared" si="2"/>
        <v>980.41463153627888</v>
      </c>
      <c r="V11">
        <f t="shared" si="3"/>
        <v>504565.85528571426</v>
      </c>
      <c r="Y11">
        <v>376239.56166412297</v>
      </c>
      <c r="Z11">
        <v>281996.36306959903</v>
      </c>
      <c r="AA11">
        <f t="shared" si="4"/>
        <v>160445.36306959903</v>
      </c>
      <c r="AB11">
        <f t="shared" si="5"/>
        <v>1307.2195089378295</v>
      </c>
      <c r="AC11">
        <f>AA11*30/7</f>
        <v>687622.98458399589</v>
      </c>
      <c r="AG11" s="6">
        <v>376239.56164384098</v>
      </c>
      <c r="AH11">
        <v>272268.28385817702</v>
      </c>
      <c r="AI11" s="6">
        <f t="shared" si="6"/>
        <v>150717.28385817702</v>
      </c>
      <c r="AJ11">
        <f t="shared" si="7"/>
        <v>1307.2195088673611</v>
      </c>
      <c r="AK11">
        <f t="shared" si="8"/>
        <v>645931.21653504425</v>
      </c>
      <c r="AO11">
        <v>11000</v>
      </c>
      <c r="AP11">
        <v>5</v>
      </c>
      <c r="AQ11">
        <v>258664.69862954001</v>
      </c>
      <c r="AR11">
        <v>229075.19021096799</v>
      </c>
      <c r="AS11">
        <v>18344.232241233902</v>
      </c>
      <c r="AT11">
        <v>10560.279776068101</v>
      </c>
      <c r="AU11">
        <v>46681.876872972403</v>
      </c>
      <c r="AV11">
        <v>14231.7236851548</v>
      </c>
      <c r="AW11">
        <v>17705.095108657501</v>
      </c>
      <c r="AX11">
        <v>28904.512017302</v>
      </c>
      <c r="AY11">
        <v>1001.30446052474</v>
      </c>
      <c r="AZ11">
        <v>8.9820359281437098E-2</v>
      </c>
      <c r="BA11">
        <v>0.88560670019780996</v>
      </c>
    </row>
    <row r="12" spans="2:53" x14ac:dyDescent="0.4">
      <c r="B12" t="s">
        <v>29</v>
      </c>
      <c r="C12">
        <f>C11</f>
        <v>687622.98458399589</v>
      </c>
      <c r="D12">
        <f>D11+C12</f>
        <v>1375245.9691679918</v>
      </c>
      <c r="E12">
        <f t="shared" ref="E12" si="11">E11+D12</f>
        <v>2062868.9537519878</v>
      </c>
      <c r="F12">
        <f t="shared" ref="F12" si="12">F11+E12</f>
        <v>2708800.1702870321</v>
      </c>
      <c r="G12">
        <f t="shared" ref="G12" si="13">G11+F12</f>
        <v>3354731.3868220765</v>
      </c>
      <c r="H12">
        <f t="shared" ref="H12" si="14">H11+G12</f>
        <v>4000662.6033571209</v>
      </c>
      <c r="I12">
        <f t="shared" ref="I12" si="15">I11+H12</f>
        <v>4000662.6033571209</v>
      </c>
      <c r="J12">
        <f t="shared" ref="J12" si="16">J11+I12</f>
        <v>4646593.8198921653</v>
      </c>
      <c r="K12">
        <f t="shared" ref="K12" si="17">K11+J12</f>
        <v>5050369.2942532292</v>
      </c>
      <c r="L12">
        <f t="shared" ref="L12" si="18">L11+K12</f>
        <v>5050369.2942532292</v>
      </c>
      <c r="M12">
        <f t="shared" ref="M12" si="19">M11+L12</f>
        <v>5050369.2942532292</v>
      </c>
      <c r="N12">
        <f t="shared" ref="N12" si="20">N11+M12</f>
        <v>5050369.2942532292</v>
      </c>
      <c r="Q12">
        <v>13000</v>
      </c>
      <c r="R12" s="6">
        <v>305694.64380000002</v>
      </c>
      <c r="S12" s="6">
        <v>247634.47459999999</v>
      </c>
      <c r="T12" s="6">
        <f t="shared" si="1"/>
        <v>126083.47459999999</v>
      </c>
      <c r="U12">
        <f t="shared" si="2"/>
        <v>1062.1158508309688</v>
      </c>
      <c r="V12">
        <f t="shared" si="3"/>
        <v>540357.74828571419</v>
      </c>
      <c r="AO12">
        <v>13000</v>
      </c>
      <c r="AP12">
        <v>0</v>
      </c>
      <c r="AQ12">
        <v>319199.97289908899</v>
      </c>
      <c r="AR12">
        <v>257752.09083295401</v>
      </c>
      <c r="AS12">
        <v>21855.2435180668</v>
      </c>
      <c r="AT12">
        <v>14860.8538541752</v>
      </c>
      <c r="AU12">
        <v>58240.000030954499</v>
      </c>
      <c r="AV12">
        <v>19264.0117365814</v>
      </c>
      <c r="AW12">
        <v>21979.9991662947</v>
      </c>
      <c r="AX12">
        <v>36716.097372242002</v>
      </c>
      <c r="AY12">
        <v>992.31070788530405</v>
      </c>
      <c r="AZ12">
        <v>0</v>
      </c>
      <c r="BA12">
        <v>0.80749408745858198</v>
      </c>
    </row>
    <row r="13" spans="2:53" x14ac:dyDescent="0.4">
      <c r="B13" s="3" t="s">
        <v>31</v>
      </c>
      <c r="C13">
        <v>986</v>
      </c>
      <c r="D13">
        <v>986</v>
      </c>
      <c r="E13">
        <v>986</v>
      </c>
      <c r="F13">
        <v>1307</v>
      </c>
      <c r="G13">
        <v>1143</v>
      </c>
      <c r="H13">
        <v>1143</v>
      </c>
      <c r="I13">
        <v>0</v>
      </c>
      <c r="J13">
        <v>1143</v>
      </c>
      <c r="K13">
        <v>1143</v>
      </c>
      <c r="L13">
        <v>1143</v>
      </c>
      <c r="M13">
        <v>0</v>
      </c>
      <c r="N13">
        <v>0</v>
      </c>
      <c r="Q13">
        <v>14000</v>
      </c>
      <c r="R13" s="6">
        <v>329281.85550000001</v>
      </c>
      <c r="S13" s="6">
        <v>257639.08540000001</v>
      </c>
      <c r="T13" s="6">
        <f t="shared" si="1"/>
        <v>136088.08540000001</v>
      </c>
      <c r="U13">
        <f t="shared" si="2"/>
        <v>1144.0680601077077</v>
      </c>
      <c r="V13">
        <f t="shared" si="3"/>
        <v>583234.65171428572</v>
      </c>
      <c r="AO13">
        <v>13000</v>
      </c>
      <c r="AP13">
        <v>1</v>
      </c>
      <c r="AQ13">
        <v>305900</v>
      </c>
      <c r="AR13">
        <v>252644.12443322301</v>
      </c>
      <c r="AS13">
        <v>20892.391182256699</v>
      </c>
      <c r="AT13">
        <v>14860.9173907514</v>
      </c>
      <c r="AU13">
        <v>55813.333333333198</v>
      </c>
      <c r="AV13">
        <v>18461.333333333299</v>
      </c>
      <c r="AW13">
        <v>21064.166666666701</v>
      </c>
      <c r="AX13">
        <v>35753.3085730081</v>
      </c>
      <c r="AY13">
        <v>995.88875130316001</v>
      </c>
      <c r="AZ13">
        <v>3.59281437125748E-2</v>
      </c>
      <c r="BA13">
        <v>0.82590429693763701</v>
      </c>
    </row>
    <row r="14" spans="2:53" x14ac:dyDescent="0.4">
      <c r="B14" t="s">
        <v>30</v>
      </c>
      <c r="C14">
        <f>C13</f>
        <v>986</v>
      </c>
      <c r="D14">
        <f>D13+C14</f>
        <v>1972</v>
      </c>
      <c r="E14">
        <f t="shared" ref="E14:N14" si="21">E13+D14</f>
        <v>2958</v>
      </c>
      <c r="F14">
        <f t="shared" si="21"/>
        <v>4265</v>
      </c>
      <c r="G14">
        <f t="shared" si="21"/>
        <v>5408</v>
      </c>
      <c r="H14">
        <f t="shared" si="21"/>
        <v>6551</v>
      </c>
      <c r="I14">
        <f t="shared" si="21"/>
        <v>6551</v>
      </c>
      <c r="J14">
        <f t="shared" si="21"/>
        <v>7694</v>
      </c>
      <c r="K14">
        <f t="shared" si="21"/>
        <v>8837</v>
      </c>
      <c r="L14">
        <f t="shared" si="21"/>
        <v>9980</v>
      </c>
      <c r="M14">
        <f t="shared" si="21"/>
        <v>9980</v>
      </c>
      <c r="N14">
        <f t="shared" si="21"/>
        <v>9980</v>
      </c>
      <c r="Q14">
        <v>15000</v>
      </c>
      <c r="R14" s="6">
        <v>352724.58906158298</v>
      </c>
      <c r="S14" s="6">
        <v>267783.90667359199</v>
      </c>
      <c r="T14" s="6">
        <f t="shared" si="1"/>
        <v>146232.90667359199</v>
      </c>
      <c r="U14">
        <f t="shared" si="2"/>
        <v>1225.5182896343147</v>
      </c>
      <c r="V14">
        <f t="shared" si="3"/>
        <v>626712.45717253711</v>
      </c>
      <c r="AO14">
        <v>13000</v>
      </c>
      <c r="AP14">
        <v>2</v>
      </c>
      <c r="AQ14">
        <v>305695.16063796601</v>
      </c>
      <c r="AR14">
        <v>251349.077901429</v>
      </c>
      <c r="AS14">
        <v>21760.5807538033</v>
      </c>
      <c r="AT14">
        <v>14428.252281699601</v>
      </c>
      <c r="AU14">
        <v>55348.0440137595</v>
      </c>
      <c r="AV14">
        <v>17298.9492126533</v>
      </c>
      <c r="AW14">
        <v>20961.269112632101</v>
      </c>
      <c r="AX14">
        <v>36188.833035502998</v>
      </c>
      <c r="AY14">
        <v>995.88875130316001</v>
      </c>
      <c r="AZ14">
        <v>3.59281437125748E-2</v>
      </c>
      <c r="BA14">
        <v>0.82222131805057197</v>
      </c>
    </row>
    <row r="15" spans="2:53" x14ac:dyDescent="0.4">
      <c r="B15" t="s">
        <v>27</v>
      </c>
      <c r="C15">
        <f>V9</f>
        <v>422805.18771428574</v>
      </c>
      <c r="D15">
        <f>V9</f>
        <v>422805.18771428574</v>
      </c>
      <c r="E15">
        <f>V9</f>
        <v>422805.18771428574</v>
      </c>
      <c r="F15">
        <f>F11</f>
        <v>645931.21653504425</v>
      </c>
      <c r="G15">
        <f>AK10</f>
        <v>559258.07036717993</v>
      </c>
      <c r="H15">
        <f>G15</f>
        <v>559258.07036717993</v>
      </c>
      <c r="I15">
        <v>0</v>
      </c>
      <c r="J15">
        <f>H15</f>
        <v>559258.07036717993</v>
      </c>
      <c r="K15">
        <f>J15</f>
        <v>559258.07036717993</v>
      </c>
      <c r="L15">
        <f>K15</f>
        <v>559258.07036717993</v>
      </c>
      <c r="M15">
        <v>0</v>
      </c>
      <c r="N15">
        <v>0</v>
      </c>
      <c r="Q15">
        <v>16000</v>
      </c>
      <c r="R15" s="6">
        <v>376241.59049999999</v>
      </c>
      <c r="S15" s="6">
        <v>280887.32260000001</v>
      </c>
      <c r="T15" s="6">
        <f>S15-$V$3</f>
        <v>159336.32260000001</v>
      </c>
      <c r="U15">
        <f>R15/1233.5*30/7</f>
        <v>1307.2265579940936</v>
      </c>
      <c r="V15">
        <f>T15*30/7</f>
        <v>682869.95400000003</v>
      </c>
      <c r="AO15">
        <v>13000</v>
      </c>
      <c r="AP15">
        <v>3</v>
      </c>
      <c r="AQ15">
        <v>305694.64383561502</v>
      </c>
      <c r="AR15">
        <v>249089.76392361301</v>
      </c>
      <c r="AS15">
        <v>22119.506802283198</v>
      </c>
      <c r="AT15">
        <v>12852.7267865389</v>
      </c>
      <c r="AU15">
        <v>55080.285160031002</v>
      </c>
      <c r="AV15">
        <v>16579.569518268101</v>
      </c>
      <c r="AW15">
        <v>20905.693129610499</v>
      </c>
      <c r="AX15">
        <v>34972.233588822201</v>
      </c>
      <c r="AY15">
        <v>1003.12281002933</v>
      </c>
      <c r="AZ15">
        <v>0.107784431137724</v>
      </c>
      <c r="BA15">
        <v>0.81483195386818397</v>
      </c>
    </row>
    <row r="16" spans="2:53" x14ac:dyDescent="0.4">
      <c r="B16" t="s">
        <v>29</v>
      </c>
      <c r="C16">
        <f>C15</f>
        <v>422805.18771428574</v>
      </c>
      <c r="D16">
        <f>D15+C16</f>
        <v>845610.37542857148</v>
      </c>
      <c r="E16">
        <f t="shared" ref="E16" si="22">E15+D16</f>
        <v>1268415.5631428573</v>
      </c>
      <c r="F16">
        <f t="shared" ref="F16" si="23">F15+E16</f>
        <v>1914346.7796779014</v>
      </c>
      <c r="G16">
        <f t="shared" ref="G16" si="24">G15+F16</f>
        <v>2473604.8500450812</v>
      </c>
      <c r="H16">
        <f t="shared" ref="H16" si="25">H15+G16</f>
        <v>3032862.920412261</v>
      </c>
      <c r="I16">
        <f t="shared" ref="I16" si="26">I15+H16</f>
        <v>3032862.920412261</v>
      </c>
      <c r="J16">
        <f t="shared" ref="J16" si="27">J15+I16</f>
        <v>3592120.9907794409</v>
      </c>
      <c r="K16">
        <f t="shared" ref="K16" si="28">K15+J16</f>
        <v>4151379.0611466207</v>
      </c>
      <c r="L16">
        <f t="shared" ref="L16" si="29">L15+K16</f>
        <v>4710637.1315138005</v>
      </c>
      <c r="M16">
        <f t="shared" ref="M16" si="30">M15+L16</f>
        <v>4710637.1315138005</v>
      </c>
      <c r="N16">
        <f t="shared" ref="N16" si="31">N15+M16</f>
        <v>4710637.1315138005</v>
      </c>
      <c r="AO16">
        <v>13000</v>
      </c>
      <c r="AP16">
        <v>4</v>
      </c>
      <c r="AQ16">
        <v>305694.64383561298</v>
      </c>
      <c r="AR16">
        <v>248077.35737057499</v>
      </c>
      <c r="AS16">
        <v>21305.121698441701</v>
      </c>
      <c r="AT16">
        <v>11656.654145012901</v>
      </c>
      <c r="AU16">
        <v>55336.524233799799</v>
      </c>
      <c r="AV16">
        <v>17268.212029021401</v>
      </c>
      <c r="AW16">
        <v>20958.862737417501</v>
      </c>
      <c r="AX16">
        <v>32961.775843454598</v>
      </c>
      <c r="AY16">
        <v>1006.77939378399</v>
      </c>
      <c r="AZ16">
        <v>0.14371257485029901</v>
      </c>
      <c r="BA16">
        <v>0.811520130866204</v>
      </c>
    </row>
    <row r="17" spans="25:53" x14ac:dyDescent="0.4">
      <c r="AO17">
        <v>13000</v>
      </c>
      <c r="AP17">
        <v>5</v>
      </c>
      <c r="AQ17">
        <v>305720.36824135599</v>
      </c>
      <c r="AR17">
        <v>248136.89966830399</v>
      </c>
      <c r="AS17">
        <v>21213.007332736699</v>
      </c>
      <c r="AT17">
        <v>11578.9962536843</v>
      </c>
      <c r="AU17">
        <v>55398.033499785197</v>
      </c>
      <c r="AV17">
        <v>17422.456688528498</v>
      </c>
      <c r="AW17">
        <v>20972.423366687399</v>
      </c>
      <c r="AX17">
        <v>32792.003586421</v>
      </c>
      <c r="AY17">
        <v>1010.46273302954</v>
      </c>
      <c r="AZ17">
        <v>0.179640718562874</v>
      </c>
      <c r="BA17">
        <v>0.81164660730883198</v>
      </c>
    </row>
    <row r="31" spans="25:53" x14ac:dyDescent="0.4">
      <c r="Z31" t="s">
        <v>38</v>
      </c>
    </row>
    <row r="32" spans="25:53" x14ac:dyDescent="0.4">
      <c r="Y32" t="s">
        <v>37</v>
      </c>
      <c r="Z32" t="s">
        <v>24</v>
      </c>
      <c r="AA32" t="s">
        <v>32</v>
      </c>
      <c r="AB32" t="s">
        <v>23</v>
      </c>
      <c r="AC32" t="s">
        <v>25</v>
      </c>
    </row>
    <row r="33" spans="25:29" x14ac:dyDescent="0.4">
      <c r="Y33">
        <v>188119.78080000001</v>
      </c>
      <c r="Z33">
        <v>201617.2696</v>
      </c>
      <c r="AA33">
        <f>Z33-$V$3</f>
        <v>80066.2696</v>
      </c>
      <c r="AB33">
        <f>Y33/1233.5*30/7</f>
        <v>653.60975435751936</v>
      </c>
      <c r="AC33">
        <f>AA33*30/7</f>
        <v>343141.15542857145</v>
      </c>
    </row>
    <row r="34" spans="25:29" x14ac:dyDescent="0.4">
      <c r="Y34">
        <v>211634.75342467701</v>
      </c>
      <c r="Z34">
        <v>211752.85666216401</v>
      </c>
      <c r="AA34">
        <f t="shared" ref="AA34:AA41" si="32">Z34-$V$3</f>
        <v>90201.856662164006</v>
      </c>
      <c r="AB34">
        <f t="shared" ref="AB34:AB41" si="33">Y34/1233.5*30/7</f>
        <v>735.31097373794785</v>
      </c>
      <c r="AC34">
        <f t="shared" ref="AC34:AC41" si="34">AA34*30/7</f>
        <v>386579.3856949886</v>
      </c>
    </row>
    <row r="35" spans="25:29" x14ac:dyDescent="0.4">
      <c r="Y35">
        <v>235150.71465123599</v>
      </c>
      <c r="Z35">
        <v>220636.328937101</v>
      </c>
      <c r="AA35">
        <f t="shared" si="32"/>
        <v>99085.328937101003</v>
      </c>
      <c r="AB35">
        <f t="shared" si="33"/>
        <v>817.01562795032476</v>
      </c>
      <c r="AC35">
        <f t="shared" si="34"/>
        <v>424651.4097304329</v>
      </c>
    </row>
    <row r="36" spans="25:29" x14ac:dyDescent="0.4">
      <c r="Y36">
        <v>258664.69865969699</v>
      </c>
      <c r="Z36">
        <v>232007.099511776</v>
      </c>
      <c r="AA36">
        <f t="shared" si="32"/>
        <v>110456.099511776</v>
      </c>
      <c r="AB36">
        <f t="shared" si="33"/>
        <v>898.71341244900225</v>
      </c>
      <c r="AC36">
        <f t="shared" si="34"/>
        <v>473383.28362189711</v>
      </c>
    </row>
    <row r="37" spans="25:29" x14ac:dyDescent="0.4">
      <c r="Y37">
        <v>282179.67129999999</v>
      </c>
      <c r="Z37">
        <v>242455.16759999999</v>
      </c>
      <c r="AA37">
        <f t="shared" si="32"/>
        <v>120904.16759999999</v>
      </c>
      <c r="AB37">
        <f t="shared" si="33"/>
        <v>980.41463188372222</v>
      </c>
      <c r="AC37">
        <f t="shared" si="34"/>
        <v>518160.71828571422</v>
      </c>
    </row>
    <row r="38" spans="25:29" x14ac:dyDescent="0.4">
      <c r="Y38">
        <v>305900</v>
      </c>
      <c r="Z38">
        <v>252644.12443322301</v>
      </c>
      <c r="AA38">
        <f t="shared" si="32"/>
        <v>131093.12443322301</v>
      </c>
      <c r="AB38">
        <f t="shared" si="33"/>
        <v>1062.8293473854885</v>
      </c>
      <c r="AC38">
        <f t="shared" si="34"/>
        <v>561827.67614238441</v>
      </c>
    </row>
    <row r="39" spans="25:29" x14ac:dyDescent="0.4">
      <c r="Y39">
        <v>329209.61660000001</v>
      </c>
      <c r="Z39">
        <v>261869.93840000001</v>
      </c>
      <c r="AA39">
        <f t="shared" si="32"/>
        <v>140318.93840000001</v>
      </c>
      <c r="AB39">
        <f t="shared" si="33"/>
        <v>1143.8170708205455</v>
      </c>
      <c r="AC39">
        <f t="shared" si="34"/>
        <v>601366.87885714299</v>
      </c>
    </row>
    <row r="40" spans="25:29" x14ac:dyDescent="0.4">
      <c r="Y40">
        <v>352724.58906469098</v>
      </c>
      <c r="Z40">
        <v>271713.14931040403</v>
      </c>
      <c r="AA40">
        <f t="shared" si="32"/>
        <v>150162.14931040403</v>
      </c>
      <c r="AB40">
        <f t="shared" si="33"/>
        <v>1225.5182896451131</v>
      </c>
      <c r="AC40">
        <f t="shared" si="34"/>
        <v>643552.06847316015</v>
      </c>
    </row>
    <row r="41" spans="25:29" x14ac:dyDescent="0.4">
      <c r="Y41">
        <v>376239.56170000002</v>
      </c>
      <c r="Z41">
        <v>281996.36839999998</v>
      </c>
      <c r="AA41">
        <f t="shared" si="32"/>
        <v>160445.36839999998</v>
      </c>
      <c r="AB41">
        <f t="shared" si="33"/>
        <v>1307.2195090624821</v>
      </c>
      <c r="AC41">
        <f t="shared" si="34"/>
        <v>687623.00742857135</v>
      </c>
    </row>
    <row r="57" spans="17:23" x14ac:dyDescent="0.4">
      <c r="S57" s="7" t="s">
        <v>40</v>
      </c>
      <c r="T57" s="7"/>
      <c r="U57" s="7"/>
      <c r="V57" s="7"/>
      <c r="W57" s="5"/>
    </row>
    <row r="58" spans="17:23" x14ac:dyDescent="0.4">
      <c r="S58" s="7" t="s">
        <v>33</v>
      </c>
      <c r="T58" s="7"/>
      <c r="U58" s="7" t="s">
        <v>39</v>
      </c>
      <c r="V58" s="7"/>
      <c r="W58" s="5"/>
    </row>
    <row r="59" spans="17:23" x14ac:dyDescent="0.4">
      <c r="Q59" t="s">
        <v>23</v>
      </c>
      <c r="R59" t="s">
        <v>37</v>
      </c>
      <c r="S59" t="s">
        <v>41</v>
      </c>
      <c r="T59" t="s">
        <v>0</v>
      </c>
      <c r="U59" t="s">
        <v>41</v>
      </c>
      <c r="V59" t="s">
        <v>0</v>
      </c>
    </row>
    <row r="60" spans="17:23" x14ac:dyDescent="0.4">
      <c r="Q60">
        <v>653.60975435751936</v>
      </c>
      <c r="R60">
        <v>188119.78084291201</v>
      </c>
      <c r="S60">
        <v>23102.274929888299</v>
      </c>
      <c r="T60">
        <f t="shared" ref="T60:T67" si="35">S60*30/7</f>
        <v>99009.749699521271</v>
      </c>
      <c r="U60">
        <v>23102.27487287961</v>
      </c>
      <c r="V60">
        <f>U60*30/7</f>
        <v>99009.749455198325</v>
      </c>
    </row>
    <row r="61" spans="17:23" x14ac:dyDescent="0.4">
      <c r="Q61">
        <v>735.31097365220921</v>
      </c>
      <c r="R61">
        <v>211634.75339999999</v>
      </c>
      <c r="S61">
        <v>23245.06853</v>
      </c>
      <c r="T61">
        <f t="shared" si="35"/>
        <v>99621.722271428574</v>
      </c>
      <c r="U61">
        <v>25980.888320162499</v>
      </c>
      <c r="V61">
        <f>U61*30/7</f>
        <v>111346.66422926786</v>
      </c>
    </row>
    <row r="62" spans="17:23" x14ac:dyDescent="0.4">
      <c r="Q62">
        <v>817.01219294689895</v>
      </c>
      <c r="R62">
        <v>235149.72602738501</v>
      </c>
      <c r="S62">
        <v>26568.609396116197</v>
      </c>
      <c r="T62">
        <f t="shared" si="35"/>
        <v>113865.46884049798</v>
      </c>
      <c r="U62">
        <v>29005.619486923399</v>
      </c>
      <c r="V62">
        <f t="shared" ref="V62:V63" si="36">U62*30/7</f>
        <v>124309.79780110029</v>
      </c>
    </row>
    <row r="63" spans="17:23" x14ac:dyDescent="0.4">
      <c r="Q63">
        <v>898.71590341073602</v>
      </c>
      <c r="R63">
        <v>258665.41560000001</v>
      </c>
      <c r="S63">
        <v>29250.65538</v>
      </c>
      <c r="T63">
        <f t="shared" si="35"/>
        <v>125359.95162857142</v>
      </c>
      <c r="U63">
        <v>31022.726947024399</v>
      </c>
      <c r="V63">
        <f t="shared" si="36"/>
        <v>132954.54405867599</v>
      </c>
    </row>
    <row r="64" spans="17:23" x14ac:dyDescent="0.4">
      <c r="Q64">
        <v>980.41463153627888</v>
      </c>
      <c r="R64">
        <v>282179.67123287701</v>
      </c>
      <c r="S64">
        <v>31885.897000708901</v>
      </c>
      <c r="T64">
        <f t="shared" si="35"/>
        <v>136653.84428875244</v>
      </c>
      <c r="U64">
        <v>35458.6676665306</v>
      </c>
      <c r="V64">
        <f>U64*30/7</f>
        <v>151965.71857084543</v>
      </c>
    </row>
    <row r="65" spans="17:22" x14ac:dyDescent="0.4">
      <c r="Q65">
        <v>1062.1158508309688</v>
      </c>
      <c r="R65">
        <v>305900</v>
      </c>
      <c r="S65">
        <v>32762.177049999998</v>
      </c>
      <c r="T65">
        <f t="shared" si="35"/>
        <v>140409.3302142857</v>
      </c>
      <c r="U65">
        <v>35753.3085730081</v>
      </c>
      <c r="V65">
        <f>U65*30/7</f>
        <v>153228.46531289187</v>
      </c>
    </row>
    <row r="66" spans="17:22" x14ac:dyDescent="0.4">
      <c r="Q66">
        <v>1144.0680601077077</v>
      </c>
      <c r="R66">
        <v>329281.855538545</v>
      </c>
      <c r="S66">
        <v>36133.6620274038</v>
      </c>
      <c r="T66">
        <f t="shared" si="35"/>
        <v>154858.55154601627</v>
      </c>
      <c r="U66">
        <v>38329.877137450698</v>
      </c>
      <c r="V66">
        <f>U66*30/7</f>
        <v>164270.90201764583</v>
      </c>
    </row>
    <row r="67" spans="17:22" x14ac:dyDescent="0.4">
      <c r="Q67">
        <v>1225.5182896343147</v>
      </c>
      <c r="R67">
        <v>352724.58906158298</v>
      </c>
      <c r="S67">
        <v>37874.354855755497</v>
      </c>
      <c r="T67">
        <f t="shared" si="35"/>
        <v>162318.66366752356</v>
      </c>
      <c r="U67">
        <v>42290.425710000003</v>
      </c>
      <c r="V67">
        <f>U67*30/7</f>
        <v>181244.68161428574</v>
      </c>
    </row>
    <row r="68" spans="17:22" x14ac:dyDescent="0.4">
      <c r="Q68">
        <v>1307.2265579940936</v>
      </c>
      <c r="R68">
        <v>376241.59048902302</v>
      </c>
      <c r="S68">
        <v>44867.029594636399</v>
      </c>
      <c r="T68">
        <f>S68*30/7</f>
        <v>192287.26969129886</v>
      </c>
      <c r="U68">
        <v>46518.362340038599</v>
      </c>
      <c r="V68">
        <f>U68*30/7</f>
        <v>199364.41002873683</v>
      </c>
    </row>
  </sheetData>
  <mergeCells count="4">
    <mergeCell ref="C5:N5"/>
    <mergeCell ref="S57:V57"/>
    <mergeCell ref="S58:T58"/>
    <mergeCell ref="U58:V58"/>
  </mergeCells>
  <pageMargins left="0.7" right="0.7" top="0.75" bottom="0.75" header="0.3" footer="0.3"/>
  <pageSetup orientation="portrait" r:id="rId1"/>
  <drawing r:id="rId2"/>
  <legacyDrawing r:id="rId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Modeled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Churchill, Jake</dc:creator>
  <cp:lastModifiedBy>Churchill, Jake</cp:lastModifiedBy>
  <dcterms:created xsi:type="dcterms:W3CDTF">2026-04-17T22:39:44Z</dcterms:created>
  <dcterms:modified xsi:type="dcterms:W3CDTF">2026-08-21T17:56:52Z</dcterms:modified>
</cp:coreProperties>
</file>