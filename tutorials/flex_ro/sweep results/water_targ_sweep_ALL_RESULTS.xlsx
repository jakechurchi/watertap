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churchi\watertap\tutorials\flex_ro\sweep results\"/>
    </mc:Choice>
  </mc:AlternateContent>
  <xr:revisionPtr revIDLastSave="0" documentId="13_ncr:1_{D6AE8B90-1AC7-4C73-BBD6-11DE1BC07C47}" xr6:coauthVersionLast="47" xr6:coauthVersionMax="47" xr10:uidLastSave="{00000000-0000-0000-0000-000000000000}"/>
  <bookViews>
    <workbookView xWindow="-94" yWindow="-94" windowWidth="33103" windowHeight="17983" activeTab="2" xr2:uid="{00000000-000D-0000-FFFF-FFFF00000000}"/>
  </bookViews>
  <sheets>
    <sheet name="Summer Cost Summary" sheetId="4" r:id="rId1"/>
    <sheet name="Winter Cost Summary" sheetId="2" r:id="rId2"/>
    <sheet name="All 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3" i="3" l="1"/>
  <c r="P14" i="3"/>
  <c r="P15" i="3"/>
  <c r="P16" i="3"/>
  <c r="B12" i="4"/>
  <c r="C21" i="4"/>
  <c r="C14" i="2"/>
  <c r="H12" i="2"/>
  <c r="P9" i="3"/>
  <c r="P2" i="3"/>
  <c r="P3" i="3"/>
  <c r="P4" i="3"/>
  <c r="P5" i="3"/>
  <c r="P7" i="3"/>
  <c r="P8" i="3"/>
  <c r="B4" i="4"/>
  <c r="B5" i="4"/>
  <c r="B6" i="4"/>
  <c r="G10" i="4"/>
  <c r="P10" i="3"/>
  <c r="P11" i="3"/>
  <c r="P12" i="3"/>
  <c r="B20" i="4" l="1"/>
  <c r="P6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tc={7A97C2A1-F701-44DC-ACFB-FB00CE8362D6}</author>
    <author>tc={C6F4AE83-B49D-43EA-8F80-7B60FB4267DD}</author>
  </authors>
  <commentList>
    <comment ref="D1" authorId="0" shapeId="0" xr:uid="{7A97C2A1-F701-44DC-ACFB-FB00CE8362D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A4" authorId="1" shapeId="0" xr:uid="{C6F4AE83-B49D-43EA-8F80-7B60FB4267D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tc={4E18937C-0B14-4E86-B599-4BF7BA80B225}</author>
    <author>tc={2CD69954-9FBF-4F0C-A085-7745F169BA9F}</author>
  </authors>
  <commentList>
    <comment ref="E1" authorId="0" shapeId="0" xr:uid="{4E18937C-0B14-4E86-B599-4BF7BA80B225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B4" authorId="1" shapeId="0" xr:uid="{2CD69954-9FBF-4F0C-A085-7745F169BA9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sharedStrings.xml><?xml version="1.0" encoding="utf-8"?>
<sst xmlns="http://schemas.openxmlformats.org/spreadsheetml/2006/main" count="43" uniqueCount="24">
  <si>
    <t>Annual AF</t>
  </si>
  <si>
    <t>Weekly Water</t>
  </si>
  <si>
    <t># of Rainy Days</t>
  </si>
  <si>
    <t>MAX</t>
  </si>
  <si>
    <t>MIN</t>
  </si>
  <si>
    <t>Levelized Cost of Water ($/m3)</t>
  </si>
  <si>
    <t>Degree of Flexibility</t>
  </si>
  <si>
    <t>Total Replacement Cost ($)</t>
  </si>
  <si>
    <t>Total Electricity Cost ($)</t>
  </si>
  <si>
    <t>Total Chemical Cost ($)</t>
  </si>
  <si>
    <t>Total Brine Cost ($)</t>
  </si>
  <si>
    <t>Total Feed Cost ($)</t>
  </si>
  <si>
    <t>Total Demand Cost ($)</t>
  </si>
  <si>
    <t>Total Energy Cost ($)</t>
  </si>
  <si>
    <t>Total Cost ($)</t>
  </si>
  <si>
    <t>Total Water Production (m3)</t>
  </si>
  <si>
    <t>Number of Allowed Shutdowns</t>
  </si>
  <si>
    <t>Annual Production (AF)</t>
  </si>
  <si>
    <t>Season</t>
  </si>
  <si>
    <t>Winter</t>
  </si>
  <si>
    <t>Total OPEX Cost</t>
  </si>
  <si>
    <t>Summer</t>
  </si>
  <si>
    <t>Rainy Days</t>
  </si>
  <si>
    <t>AF/year to m3/week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</si>
</sst>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1" fillId="0" borderId="0" xfId="0" applyFont="1"/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Fill="1"/>
  </cellXfs>
  <cellStyles count="1">
    <cellStyle name="Normal" xfId="0" builtinId="0"/>
  </cellStyles>
  <dxfs count="2"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D208FEB8-F7DA-4D83-AAE5-2EEFF5739FC7}" userId="S::rchurchi@nrel.gov::24b6a320-1211-4379-9513-990e66715a0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7BF30-9E2E-4F6C-9DD3-062B2A684BE6}" name="Table1" displayName="Table1" ref="A1:P16" totalsRowShown="0" headerRowDxfId="1">
  <autoFilter ref="A1:P16" xr:uid="{61A7BF30-9E2E-4F6C-9DD3-062B2A684BE6}"/>
  <tableColumns count="16">
    <tableColumn id="1" xr3:uid="{FADC07E8-CEDF-4B75-BBE4-A01ACB71EDD0}" name="Season"/>
    <tableColumn id="2" xr3:uid="{19D40EF6-9320-45FB-A774-40B56854F6B1}" name="Rainy Days"/>
    <tableColumn id="3" xr3:uid="{1F3F565E-E252-4005-928E-82A03DAD0C98}" name="Annual Production (AF)"/>
    <tableColumn id="4" xr3:uid="{3403EB11-E96C-47DE-93E7-64AE2DF24B9C}" name="Number of Allowed Shutdowns"/>
    <tableColumn id="5" xr3:uid="{3404FD88-9CB1-40B3-9593-EFD338F368D9}" name="Total Water Production (m3)"/>
    <tableColumn id="6" xr3:uid="{8B76C349-9602-4C87-BB96-8FCCAD5960B0}" name="Total Cost ($)"/>
    <tableColumn id="7" xr3:uid="{3CA80F15-7953-4B96-BC42-B84249A939B1}" name="Total Energy Cost ($)"/>
    <tableColumn id="8" xr3:uid="{97F35278-3929-4B6E-A404-1E99EE7EB204}" name="Total Demand Cost ($)"/>
    <tableColumn id="9" xr3:uid="{3D69CAC7-E215-46B8-AFCE-E602A8929E07}" name="Total Feed Cost ($)"/>
    <tableColumn id="10" xr3:uid="{D32D988A-834E-4DAB-B7F4-E431962063C9}" name="Total Brine Cost ($)"/>
    <tableColumn id="11" xr3:uid="{EACF1AE0-9662-4B39-831A-36F1D844ADD7}" name="Total Chemical Cost ($)"/>
    <tableColumn id="12" xr3:uid="{1B393A1A-7980-4033-89B4-E11F8D324A0B}" name="Total Electricity Cost ($)"/>
    <tableColumn id="13" xr3:uid="{2AE3D243-D71B-48B9-87D2-BFD00350BF9A}" name="Total Replacement Cost ($)"/>
    <tableColumn id="14" xr3:uid="{B5251DEF-3E31-4ABB-B44C-AE5BAB4EED3A}" name="Degree of Flexibility"/>
    <tableColumn id="15" xr3:uid="{2C164AA9-7F5B-49E1-A3E8-CC250E8A10E0}" name="Levelized Cost of Water ($/m3)"/>
    <tableColumn id="16" xr3:uid="{DD6FED5F-B3AC-4690-ADB6-A1351F19574D}" name="Total OPEX Cost" dataDxfId="0">
      <calculatedColumnFormula>M2+L2+K2+J2+I2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8-21T19:08:40.15" personId="{D208FEB8-F7DA-4D83-AAE5-2EEFF5739FC7}" id="{7A97C2A1-F701-44DC-ACFB-FB00CE8362D6}">
    <text>This is fine for winter, but for the summer, this would highly bias the results towards the weekend.</text>
  </threadedComment>
  <threadedComment ref="A4" dT="2026-08-21T19:09:12.49" personId="{D208FEB8-F7DA-4D83-AAE5-2EEFF5739FC7}" id="{C6F4AE83-B49D-43EA-8F80-7B60FB4267DD}">
    <text>Two Trains on for one day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6-08-21T19:08:40.15" personId="{D208FEB8-F7DA-4D83-AAE5-2EEFF5739FC7}" id="{4E18937C-0B14-4E86-B599-4BF7BA80B225}">
    <text>This is fine for winter, but for the summer, this would highly bias the results towards the weekend.</text>
  </threadedComment>
  <threadedComment ref="B4" dT="2026-08-21T19:09:12.49" personId="{D208FEB8-F7DA-4D83-AAE5-2EEFF5739FC7}" id="{2CD69954-9FBF-4F0C-A085-7745F169BA9F}">
    <text>Two Trains on for one day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DDFCB-CD48-4284-8222-18B5894FE623}">
  <dimension ref="A1:G21"/>
  <sheetViews>
    <sheetView workbookViewId="0">
      <selection activeCell="B12" sqref="B12"/>
    </sheetView>
  </sheetViews>
  <sheetFormatPr defaultRowHeight="14.5" x14ac:dyDescent="0.35"/>
  <cols>
    <col min="2" max="2" width="9.26953125" bestFit="1" customWidth="1"/>
    <col min="3" max="3" width="13.453125" customWidth="1"/>
    <col min="4" max="4" width="9.81640625" customWidth="1"/>
    <col min="5" max="5" width="9.453125" customWidth="1"/>
    <col min="6" max="6" width="10.36328125" customWidth="1"/>
    <col min="7" max="7" width="18" bestFit="1" customWidth="1"/>
  </cols>
  <sheetData>
    <row r="1" spans="1:7" x14ac:dyDescent="0.35">
      <c r="D1" s="4" t="s">
        <v>2</v>
      </c>
      <c r="E1" s="4"/>
      <c r="F1" s="4"/>
    </row>
    <row r="2" spans="1:7" x14ac:dyDescent="0.35">
      <c r="D2">
        <v>0</v>
      </c>
      <c r="E2">
        <v>3</v>
      </c>
      <c r="F2">
        <v>5</v>
      </c>
    </row>
    <row r="3" spans="1:7" x14ac:dyDescent="0.35">
      <c r="B3" t="s">
        <v>0</v>
      </c>
      <c r="C3" t="s">
        <v>1</v>
      </c>
    </row>
    <row r="4" spans="1:7" x14ac:dyDescent="0.35">
      <c r="A4" t="s">
        <v>4</v>
      </c>
      <c r="B4" s="3">
        <f>C4/$G$10</f>
        <v>1190.7306933411717</v>
      </c>
      <c r="C4">
        <v>28000</v>
      </c>
      <c r="D4" s="1"/>
      <c r="E4" s="1"/>
    </row>
    <row r="5" spans="1:7" x14ac:dyDescent="0.35">
      <c r="B5" s="3">
        <f>C5/$G$10</f>
        <v>1798.4286079070769</v>
      </c>
      <c r="C5">
        <v>42290</v>
      </c>
      <c r="D5" s="1"/>
      <c r="E5" s="1"/>
    </row>
    <row r="6" spans="1:7" x14ac:dyDescent="0.35">
      <c r="B6" s="3">
        <f>C6/$G$10</f>
        <v>2397.9615120043568</v>
      </c>
      <c r="C6">
        <v>56388</v>
      </c>
      <c r="D6" s="1"/>
    </row>
    <row r="7" spans="1:7" x14ac:dyDescent="0.35">
      <c r="D7" s="1"/>
      <c r="F7" s="1"/>
    </row>
    <row r="8" spans="1:7" x14ac:dyDescent="0.35">
      <c r="D8" s="1"/>
      <c r="F8" s="1"/>
    </row>
    <row r="9" spans="1:7" x14ac:dyDescent="0.35">
      <c r="D9" s="1"/>
      <c r="F9" s="1"/>
      <c r="G9" t="s">
        <v>23</v>
      </c>
    </row>
    <row r="10" spans="1:7" x14ac:dyDescent="0.35">
      <c r="B10">
        <v>8000</v>
      </c>
      <c r="C10" s="3">
        <v>188119.78330000001</v>
      </c>
      <c r="D10" s="3">
        <v>80541.55863</v>
      </c>
      <c r="F10" s="1"/>
      <c r="G10">
        <f>C10/B10</f>
        <v>23.514972912500003</v>
      </c>
    </row>
    <row r="11" spans="1:7" x14ac:dyDescent="0.35">
      <c r="B11">
        <v>9000</v>
      </c>
      <c r="D11" s="3"/>
      <c r="F11" s="1"/>
    </row>
    <row r="12" spans="1:7" x14ac:dyDescent="0.35">
      <c r="B12" s="3">
        <f>C12/$G$10</f>
        <v>9591.8460480174272</v>
      </c>
      <c r="C12">
        <v>225552</v>
      </c>
      <c r="D12" s="1"/>
      <c r="E12" s="5"/>
      <c r="F12" s="1"/>
    </row>
    <row r="13" spans="1:7" x14ac:dyDescent="0.35">
      <c r="B13">
        <v>10000</v>
      </c>
      <c r="D13" s="3"/>
      <c r="E13" s="1"/>
      <c r="F13" s="1"/>
    </row>
    <row r="14" spans="1:7" x14ac:dyDescent="0.35">
      <c r="B14">
        <v>11000</v>
      </c>
      <c r="C14" s="3">
        <v>258664.69889999999</v>
      </c>
      <c r="D14" s="3">
        <v>108042.46335199999</v>
      </c>
      <c r="E14" s="1"/>
      <c r="F14" s="1"/>
    </row>
    <row r="15" spans="1:7" x14ac:dyDescent="0.35">
      <c r="B15">
        <v>12000</v>
      </c>
      <c r="D15" s="3"/>
      <c r="E15" s="1"/>
      <c r="F15" s="1"/>
    </row>
    <row r="16" spans="1:7" x14ac:dyDescent="0.35">
      <c r="B16">
        <v>13000</v>
      </c>
      <c r="D16" s="3"/>
      <c r="E16" s="1"/>
      <c r="F16" s="1"/>
    </row>
    <row r="17" spans="1:6" x14ac:dyDescent="0.35">
      <c r="B17">
        <v>14000</v>
      </c>
      <c r="C17" s="3">
        <v>329209.6164</v>
      </c>
      <c r="D17" s="3">
        <v>136028.56817899999</v>
      </c>
      <c r="E17" s="1"/>
      <c r="F17" s="1"/>
    </row>
    <row r="18" spans="1:6" x14ac:dyDescent="0.35">
      <c r="B18">
        <v>15000</v>
      </c>
      <c r="D18" s="3"/>
      <c r="E18" s="1"/>
      <c r="F18" s="1"/>
    </row>
    <row r="19" spans="1:6" x14ac:dyDescent="0.35">
      <c r="B19">
        <v>16000</v>
      </c>
      <c r="D19" s="3"/>
      <c r="E19" s="1"/>
      <c r="F19" s="1"/>
    </row>
    <row r="20" spans="1:6" x14ac:dyDescent="0.35">
      <c r="A20" t="s">
        <v>3</v>
      </c>
      <c r="B20">
        <f>C20/$G$10</f>
        <v>16785.730584030498</v>
      </c>
      <c r="C20">
        <v>394716</v>
      </c>
      <c r="D20" s="3">
        <v>171053.54809522501</v>
      </c>
      <c r="E20" s="1"/>
      <c r="F20" s="1"/>
    </row>
    <row r="21" spans="1:6" x14ac:dyDescent="0.35">
      <c r="C21">
        <f>C20*4/7</f>
        <v>225552</v>
      </c>
    </row>
  </sheetData>
  <mergeCells count="1">
    <mergeCell ref="D1:F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2D5E1-F801-4839-8C05-CA5C31CB2DFA}">
  <dimension ref="B1:H22"/>
  <sheetViews>
    <sheetView workbookViewId="0">
      <selection activeCell="D18" sqref="D18"/>
    </sheetView>
  </sheetViews>
  <sheetFormatPr defaultRowHeight="14.5" x14ac:dyDescent="0.35"/>
  <cols>
    <col min="3" max="3" width="9.26953125" bestFit="1" customWidth="1"/>
    <col min="4" max="4" width="13.453125" customWidth="1"/>
    <col min="5" max="5" width="9.81640625" customWidth="1"/>
    <col min="6" max="6" width="9.453125" customWidth="1"/>
    <col min="7" max="7" width="10.36328125" customWidth="1"/>
  </cols>
  <sheetData>
    <row r="1" spans="2:8" x14ac:dyDescent="0.35">
      <c r="E1" s="4" t="s">
        <v>2</v>
      </c>
      <c r="F1" s="4"/>
      <c r="G1" s="4"/>
    </row>
    <row r="2" spans="2:8" x14ac:dyDescent="0.35">
      <c r="E2">
        <v>0</v>
      </c>
      <c r="F2">
        <v>3</v>
      </c>
      <c r="G2">
        <v>5</v>
      </c>
    </row>
    <row r="3" spans="2:8" x14ac:dyDescent="0.35">
      <c r="C3" t="s">
        <v>0</v>
      </c>
      <c r="D3" t="s">
        <v>1</v>
      </c>
    </row>
    <row r="4" spans="2:8" x14ac:dyDescent="0.35">
      <c r="B4" t="s">
        <v>4</v>
      </c>
      <c r="C4">
        <v>1191</v>
      </c>
      <c r="D4" s="3">
        <v>28006.332369864798</v>
      </c>
      <c r="E4" s="1"/>
      <c r="F4" s="1"/>
      <c r="G4" s="3">
        <v>16720.240035535448</v>
      </c>
    </row>
    <row r="5" spans="2:8" x14ac:dyDescent="0.35">
      <c r="C5">
        <v>1798</v>
      </c>
      <c r="D5" s="3">
        <v>42292.226399718798</v>
      </c>
      <c r="E5" s="1"/>
      <c r="F5" s="1"/>
      <c r="G5" s="3">
        <v>22368.52857086459</v>
      </c>
    </row>
    <row r="6" spans="2:8" x14ac:dyDescent="0.35">
      <c r="C6">
        <v>2398</v>
      </c>
      <c r="D6" s="3">
        <v>56388.904300408598</v>
      </c>
      <c r="E6" s="1"/>
      <c r="F6" s="1"/>
      <c r="G6" s="3">
        <v>28772.571914996501</v>
      </c>
    </row>
    <row r="7" spans="2:8" x14ac:dyDescent="0.35">
      <c r="C7">
        <v>3000</v>
      </c>
      <c r="D7" s="3"/>
      <c r="E7" s="1"/>
      <c r="F7" s="1"/>
      <c r="G7" s="1"/>
    </row>
    <row r="8" spans="2:8" x14ac:dyDescent="0.35">
      <c r="C8">
        <v>4000</v>
      </c>
      <c r="E8" s="1"/>
      <c r="G8" s="1"/>
    </row>
    <row r="9" spans="2:8" x14ac:dyDescent="0.35">
      <c r="C9">
        <v>5000</v>
      </c>
      <c r="E9" s="1"/>
      <c r="G9" s="1"/>
    </row>
    <row r="10" spans="2:8" x14ac:dyDescent="0.35">
      <c r="C10">
        <v>6000</v>
      </c>
      <c r="E10" s="1"/>
      <c r="G10" s="1"/>
      <c r="H10" t="s">
        <v>23</v>
      </c>
    </row>
    <row r="11" spans="2:8" x14ac:dyDescent="0.35">
      <c r="C11">
        <v>7000</v>
      </c>
      <c r="E11" s="1"/>
      <c r="G11" s="1"/>
    </row>
    <row r="12" spans="2:8" x14ac:dyDescent="0.35">
      <c r="C12">
        <v>8000</v>
      </c>
      <c r="D12" s="3">
        <v>188119.78330000001</v>
      </c>
      <c r="G12" s="1"/>
      <c r="H12">
        <f>D12/C12</f>
        <v>23.514972912500003</v>
      </c>
    </row>
    <row r="13" spans="2:8" x14ac:dyDescent="0.35">
      <c r="C13">
        <v>9000</v>
      </c>
      <c r="G13" s="1"/>
    </row>
    <row r="14" spans="2:8" x14ac:dyDescent="0.35">
      <c r="C14" s="3">
        <f>D14/H12</f>
        <v>9591.8460480174272</v>
      </c>
      <c r="D14">
        <v>225552</v>
      </c>
      <c r="G14" s="1"/>
    </row>
    <row r="15" spans="2:8" x14ac:dyDescent="0.35">
      <c r="C15">
        <v>10000</v>
      </c>
      <c r="F15" s="1"/>
      <c r="G15" s="1"/>
    </row>
    <row r="16" spans="2:8" x14ac:dyDescent="0.35">
      <c r="C16">
        <v>11000</v>
      </c>
      <c r="F16" s="1"/>
      <c r="G16" s="1"/>
    </row>
    <row r="17" spans="2:7" x14ac:dyDescent="0.35">
      <c r="C17">
        <v>12000</v>
      </c>
      <c r="F17" s="1"/>
      <c r="G17" s="1"/>
    </row>
    <row r="18" spans="2:7" x14ac:dyDescent="0.35">
      <c r="C18">
        <v>13000</v>
      </c>
      <c r="F18" s="1"/>
      <c r="G18" s="1"/>
    </row>
    <row r="19" spans="2:7" x14ac:dyDescent="0.35">
      <c r="C19">
        <v>14000</v>
      </c>
      <c r="F19" s="1"/>
      <c r="G19" s="1"/>
    </row>
    <row r="20" spans="2:7" x14ac:dyDescent="0.35">
      <c r="C20">
        <v>15000</v>
      </c>
      <c r="F20" s="1"/>
      <c r="G20" s="1"/>
    </row>
    <row r="21" spans="2:7" x14ac:dyDescent="0.35">
      <c r="C21">
        <v>16000</v>
      </c>
      <c r="F21" s="1"/>
      <c r="G21" s="1"/>
    </row>
    <row r="22" spans="2:7" x14ac:dyDescent="0.35">
      <c r="B22" t="s">
        <v>3</v>
      </c>
      <c r="D22">
        <v>394716</v>
      </c>
      <c r="E22" s="3">
        <v>158104.1957609462</v>
      </c>
      <c r="F22" s="1"/>
      <c r="G22" s="1"/>
    </row>
  </sheetData>
  <mergeCells count="1">
    <mergeCell ref="E1:G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9D92-5C1B-43B6-BE00-3D23C35CC93C}">
  <dimension ref="A1:P16"/>
  <sheetViews>
    <sheetView tabSelected="1" workbookViewId="0">
      <selection activeCell="D25" sqref="D25"/>
    </sheetView>
  </sheetViews>
  <sheetFormatPr defaultRowHeight="14.5" x14ac:dyDescent="0.35"/>
  <cols>
    <col min="1" max="1" width="8.7265625" customWidth="1"/>
    <col min="2" max="2" width="11.81640625" customWidth="1"/>
    <col min="3" max="3" width="22.26953125" customWidth="1"/>
    <col min="4" max="4" width="28.81640625" customWidth="1"/>
    <col min="5" max="5" width="26.90625" customWidth="1"/>
    <col min="6" max="6" width="14" customWidth="1"/>
    <col min="7" max="7" width="20.08984375" customWidth="1"/>
    <col min="8" max="8" width="21.54296875" customWidth="1"/>
    <col min="9" max="9" width="18.453125" customWidth="1"/>
    <col min="10" max="10" width="18.81640625" customWidth="1"/>
    <col min="11" max="11" width="22" customWidth="1"/>
    <col min="12" max="12" width="22.54296875" customWidth="1"/>
    <col min="13" max="13" width="25.36328125" customWidth="1"/>
    <col min="14" max="14" width="19.1796875" customWidth="1"/>
    <col min="15" max="15" width="28.6328125" customWidth="1"/>
    <col min="16" max="16" width="16.26953125" style="3" customWidth="1"/>
  </cols>
  <sheetData>
    <row r="1" spans="1:16" x14ac:dyDescent="0.35">
      <c r="A1" s="2" t="s">
        <v>18</v>
      </c>
      <c r="B1" s="2" t="s">
        <v>22</v>
      </c>
      <c r="C1" s="2" t="s">
        <v>17</v>
      </c>
      <c r="D1" s="2" t="s">
        <v>16</v>
      </c>
      <c r="E1" s="2" t="s">
        <v>15</v>
      </c>
      <c r="F1" s="2" t="s">
        <v>14</v>
      </c>
      <c r="G1" s="2" t="s">
        <v>13</v>
      </c>
      <c r="H1" s="2" t="s">
        <v>12</v>
      </c>
      <c r="I1" s="2" t="s">
        <v>11</v>
      </c>
      <c r="J1" s="2" t="s">
        <v>10</v>
      </c>
      <c r="K1" s="2" t="s">
        <v>9</v>
      </c>
      <c r="L1" s="2" t="s">
        <v>8</v>
      </c>
      <c r="M1" s="2" t="s">
        <v>7</v>
      </c>
      <c r="N1" s="2" t="s">
        <v>6</v>
      </c>
      <c r="O1" s="2" t="s">
        <v>5</v>
      </c>
      <c r="P1" s="2" t="s">
        <v>20</v>
      </c>
    </row>
    <row r="2" spans="1:16" x14ac:dyDescent="0.35">
      <c r="A2" t="s">
        <v>19</v>
      </c>
      <c r="B2">
        <v>0</v>
      </c>
      <c r="C2">
        <v>1</v>
      </c>
      <c r="D2">
        <v>10</v>
      </c>
      <c r="E2">
        <v>394716</v>
      </c>
      <c r="F2">
        <v>278246.340858232</v>
      </c>
      <c r="G2">
        <v>26386.1783186127</v>
      </c>
      <c r="H2">
        <v>10787.4639632329</v>
      </c>
      <c r="I2">
        <v>71120.000035556499</v>
      </c>
      <c r="J2">
        <v>21407.1200065704</v>
      </c>
      <c r="K2">
        <v>26993.596007378099</v>
      </c>
      <c r="L2">
        <v>37173.642281845699</v>
      </c>
      <c r="M2">
        <v>1409.83742959549</v>
      </c>
      <c r="N2">
        <v>0</v>
      </c>
      <c r="O2">
        <v>0.70492795036996803</v>
      </c>
      <c r="P2" s="3">
        <f>M2+L2+K2+J2+I2</f>
        <v>158104.1957609462</v>
      </c>
    </row>
    <row r="3" spans="1:16" x14ac:dyDescent="0.35">
      <c r="A3" t="s">
        <v>21</v>
      </c>
      <c r="B3">
        <v>0</v>
      </c>
      <c r="C3">
        <v>1</v>
      </c>
      <c r="D3">
        <v>10</v>
      </c>
      <c r="E3">
        <v>394716</v>
      </c>
      <c r="F3">
        <v>291195.69319251098</v>
      </c>
      <c r="G3">
        <v>29835.6950167217</v>
      </c>
      <c r="H3">
        <v>20287.299599563899</v>
      </c>
      <c r="I3">
        <v>71120.000035515404</v>
      </c>
      <c r="J3">
        <v>21407.120006458899</v>
      </c>
      <c r="K3">
        <v>26993.596007369601</v>
      </c>
      <c r="L3">
        <v>50122.994616285599</v>
      </c>
      <c r="M3">
        <v>1409.83742959549</v>
      </c>
      <c r="N3">
        <v>0</v>
      </c>
      <c r="O3">
        <v>0.73773470848030298</v>
      </c>
      <c r="P3" s="3">
        <f t="shared" ref="P3:P16" si="0">M3+L3+K3+J3+I3</f>
        <v>171053.54809522501</v>
      </c>
    </row>
    <row r="4" spans="1:16" x14ac:dyDescent="0.35">
      <c r="A4" t="s">
        <v>21</v>
      </c>
      <c r="B4">
        <v>0</v>
      </c>
      <c r="C4">
        <v>8000</v>
      </c>
      <c r="D4">
        <v>10</v>
      </c>
      <c r="E4">
        <v>188119.78330000001</v>
      </c>
      <c r="F4">
        <v>200683.70370000001</v>
      </c>
      <c r="G4">
        <v>13644.59908</v>
      </c>
      <c r="H4">
        <v>8296.7277529999992</v>
      </c>
      <c r="I4">
        <v>33953.835149999999</v>
      </c>
      <c r="J4">
        <v>10359.425139999999</v>
      </c>
      <c r="K4">
        <v>12877.13408</v>
      </c>
      <c r="L4">
        <v>21941.326830000002</v>
      </c>
      <c r="M4">
        <v>1409.83743</v>
      </c>
      <c r="N4">
        <v>0</v>
      </c>
      <c r="O4">
        <v>1.0667868110000001</v>
      </c>
      <c r="P4" s="3">
        <f t="shared" si="0"/>
        <v>80541.55863</v>
      </c>
    </row>
    <row r="5" spans="1:16" x14ac:dyDescent="0.35">
      <c r="A5" t="s">
        <v>21</v>
      </c>
      <c r="B5">
        <v>0</v>
      </c>
      <c r="C5">
        <v>11000</v>
      </c>
      <c r="D5">
        <v>10</v>
      </c>
      <c r="E5">
        <v>258664.69889999999</v>
      </c>
      <c r="F5">
        <v>228171.83050000001</v>
      </c>
      <c r="G5">
        <v>18324.725719999999</v>
      </c>
      <c r="H5">
        <v>9759.3700439999993</v>
      </c>
      <c r="I5">
        <v>46660.582040000001</v>
      </c>
      <c r="J5">
        <v>14174.493689999999</v>
      </c>
      <c r="K5">
        <v>17700.676439999999</v>
      </c>
      <c r="L5">
        <v>28084.09577</v>
      </c>
      <c r="M5">
        <v>1422.6154120000001</v>
      </c>
      <c r="N5">
        <v>8.9820359000000002E-2</v>
      </c>
      <c r="O5">
        <v>0.88211430199999996</v>
      </c>
      <c r="P5" s="3">
        <f t="shared" si="0"/>
        <v>108042.46335199999</v>
      </c>
    </row>
    <row r="6" spans="1:16" x14ac:dyDescent="0.35">
      <c r="A6" t="s">
        <v>21</v>
      </c>
      <c r="B6">
        <v>0</v>
      </c>
      <c r="C6">
        <v>14000</v>
      </c>
      <c r="D6">
        <v>10</v>
      </c>
      <c r="E6">
        <v>329209.6164</v>
      </c>
      <c r="F6">
        <v>256144.92360000001</v>
      </c>
      <c r="G6">
        <v>23256.219349999999</v>
      </c>
      <c r="H6">
        <v>11424.37874</v>
      </c>
      <c r="I6">
        <v>59375.347860000002</v>
      </c>
      <c r="J6">
        <v>18011.112300000001</v>
      </c>
      <c r="K6">
        <v>22525.88279</v>
      </c>
      <c r="L6">
        <v>34680.59809</v>
      </c>
      <c r="M6">
        <v>1435.6271389999999</v>
      </c>
      <c r="N6">
        <v>0.179640719</v>
      </c>
      <c r="O6">
        <v>0.77806027200000005</v>
      </c>
      <c r="P6" s="3">
        <f t="shared" si="0"/>
        <v>136028.56817899999</v>
      </c>
    </row>
    <row r="7" spans="1:16" x14ac:dyDescent="0.35">
      <c r="A7" t="s">
        <v>19</v>
      </c>
      <c r="B7">
        <v>5</v>
      </c>
      <c r="C7">
        <v>2398</v>
      </c>
      <c r="D7">
        <v>10</v>
      </c>
      <c r="E7">
        <v>56388.904300408598</v>
      </c>
      <c r="F7">
        <v>148904.51312256299</v>
      </c>
      <c r="G7">
        <v>3492.0724412416398</v>
      </c>
      <c r="H7">
        <v>5287.8238927682696</v>
      </c>
      <c r="I7">
        <v>10272.519814514601</v>
      </c>
      <c r="J7">
        <v>4291.8348189990802</v>
      </c>
      <c r="K7">
        <v>4008.2796281577898</v>
      </c>
      <c r="L7">
        <v>8779.8963340099108</v>
      </c>
      <c r="M7">
        <v>1420.0413193151201</v>
      </c>
      <c r="N7">
        <v>7.1856287425149698E-2</v>
      </c>
      <c r="O7">
        <v>2.6406704469603199</v>
      </c>
      <c r="P7" s="3">
        <f t="shared" si="0"/>
        <v>28772.571914996501</v>
      </c>
    </row>
    <row r="8" spans="1:16" x14ac:dyDescent="0.35">
      <c r="A8" t="s">
        <v>19</v>
      </c>
      <c r="B8">
        <v>5</v>
      </c>
      <c r="C8">
        <v>1798</v>
      </c>
      <c r="D8">
        <v>10</v>
      </c>
      <c r="E8">
        <v>42292.226399718798</v>
      </c>
      <c r="F8">
        <v>142505.590119726</v>
      </c>
      <c r="G8">
        <v>2685.6739628165201</v>
      </c>
      <c r="H8">
        <v>4056.7859256987999</v>
      </c>
      <c r="I8">
        <v>7708.7043999531998</v>
      </c>
      <c r="J8">
        <v>3463.15238966165</v>
      </c>
      <c r="K8">
        <v>3039.2909147149098</v>
      </c>
      <c r="L8">
        <v>6742.45988851532</v>
      </c>
      <c r="M8">
        <v>1414.9209780195099</v>
      </c>
      <c r="N8">
        <v>3.59281437125748E-2</v>
      </c>
      <c r="O8">
        <v>3.36954571208561</v>
      </c>
      <c r="P8" s="3">
        <f t="shared" si="0"/>
        <v>22368.52857086459</v>
      </c>
    </row>
    <row r="9" spans="1:16" x14ac:dyDescent="0.35">
      <c r="A9" t="s">
        <v>19</v>
      </c>
      <c r="B9">
        <v>5</v>
      </c>
      <c r="C9">
        <v>1191</v>
      </c>
      <c r="D9">
        <v>10</v>
      </c>
      <c r="E9">
        <v>28006.332369864798</v>
      </c>
      <c r="F9">
        <v>136852.18124310201</v>
      </c>
      <c r="G9">
        <v>1795.6766797196899</v>
      </c>
      <c r="H9">
        <v>2651.1746633135699</v>
      </c>
      <c r="I9">
        <v>5102.7220616439199</v>
      </c>
      <c r="J9">
        <v>3562.36888913341</v>
      </c>
      <c r="K9">
        <v>2188.25642240973</v>
      </c>
      <c r="L9">
        <v>4446.8513430332696</v>
      </c>
      <c r="M9">
        <v>1420.0413193151201</v>
      </c>
      <c r="N9">
        <v>7.1856287425149698E-2</v>
      </c>
      <c r="O9">
        <v>4.8864727960722396</v>
      </c>
      <c r="P9" s="3">
        <f t="shared" si="0"/>
        <v>16720.240035535448</v>
      </c>
    </row>
    <row r="10" spans="1:16" x14ac:dyDescent="0.35">
      <c r="A10" t="s">
        <v>21</v>
      </c>
      <c r="B10">
        <v>0</v>
      </c>
      <c r="C10">
        <v>9000</v>
      </c>
      <c r="D10">
        <v>10</v>
      </c>
      <c r="E10">
        <v>211634.775495949</v>
      </c>
      <c r="F10">
        <v>210256.540792755</v>
      </c>
      <c r="G10">
        <v>14871.657722592799</v>
      </c>
      <c r="H10">
        <v>6315.0305970216004</v>
      </c>
      <c r="I10">
        <v>38197.462944573999</v>
      </c>
      <c r="J10">
        <v>14447.7282003115</v>
      </c>
      <c r="K10">
        <v>14872.6788013735</v>
      </c>
      <c r="L10">
        <v>21186.688319614401</v>
      </c>
      <c r="M10">
        <v>1440.8987193540199</v>
      </c>
      <c r="N10">
        <v>0.215568862275449</v>
      </c>
      <c r="O10">
        <v>0.99348767375321601</v>
      </c>
      <c r="P10" s="3">
        <f t="shared" si="0"/>
        <v>90145.456985227414</v>
      </c>
    </row>
    <row r="11" spans="1:16" x14ac:dyDescent="0.35">
      <c r="A11" t="s">
        <v>19</v>
      </c>
      <c r="B11">
        <v>3</v>
      </c>
      <c r="C11">
        <v>9000</v>
      </c>
      <c r="D11">
        <v>10</v>
      </c>
      <c r="E11">
        <v>211634.75342465701</v>
      </c>
      <c r="F11">
        <v>211023.73897645701</v>
      </c>
      <c r="G11">
        <v>13979.8948916106</v>
      </c>
      <c r="H11">
        <v>10348.134497098899</v>
      </c>
      <c r="I11">
        <v>38132.388004442699</v>
      </c>
      <c r="J11">
        <v>12409.515456003901</v>
      </c>
      <c r="K11">
        <v>14601.823600419501</v>
      </c>
      <c r="L11">
        <v>24328.029388709601</v>
      </c>
      <c r="M11">
        <v>1420.0413193151201</v>
      </c>
      <c r="N11">
        <v>7.1856287425149698E-2</v>
      </c>
      <c r="O11">
        <v>0.99711288227329198</v>
      </c>
      <c r="P11" s="3">
        <f t="shared" si="0"/>
        <v>90891.797768890829</v>
      </c>
    </row>
    <row r="12" spans="1:16" x14ac:dyDescent="0.35">
      <c r="A12" t="s">
        <v>19</v>
      </c>
      <c r="B12">
        <v>3</v>
      </c>
      <c r="C12">
        <v>4000</v>
      </c>
      <c r="D12">
        <v>10</v>
      </c>
      <c r="E12">
        <v>94059.890410960099</v>
      </c>
      <c r="F12">
        <v>161889.29285442</v>
      </c>
      <c r="G12">
        <v>5971.5226878267204</v>
      </c>
      <c r="H12">
        <v>4341.2709885715803</v>
      </c>
      <c r="I12">
        <v>17071.648401826398</v>
      </c>
      <c r="J12">
        <v>6365.9688698622604</v>
      </c>
      <c r="K12">
        <v>6586.8993794520802</v>
      </c>
      <c r="L12">
        <v>10312.7936763983</v>
      </c>
      <c r="M12">
        <v>1414.9209780195099</v>
      </c>
      <c r="N12">
        <v>3.59281437125748E-2</v>
      </c>
      <c r="O12">
        <v>1.7211299327173799</v>
      </c>
      <c r="P12" s="3">
        <f t="shared" si="0"/>
        <v>41752.231305558547</v>
      </c>
    </row>
    <row r="13" spans="1:16" x14ac:dyDescent="0.35">
      <c r="A13" t="s">
        <v>19</v>
      </c>
      <c r="B13">
        <v>3</v>
      </c>
      <c r="C13">
        <v>5000</v>
      </c>
      <c r="D13">
        <v>10</v>
      </c>
      <c r="E13">
        <v>117574.86301369801</v>
      </c>
      <c r="F13">
        <v>171622.562462248</v>
      </c>
      <c r="G13">
        <v>7165.5493259188897</v>
      </c>
      <c r="H13">
        <v>5351.6814382900502</v>
      </c>
      <c r="I13">
        <v>21410.810502291701</v>
      </c>
      <c r="J13">
        <v>7925.0526824229901</v>
      </c>
      <c r="K13">
        <v>8217.4859864430091</v>
      </c>
      <c r="L13">
        <v>12517.2307642089</v>
      </c>
      <c r="M13">
        <v>1425.19885437316</v>
      </c>
      <c r="N13">
        <v>0.107784431137724</v>
      </c>
      <c r="O13">
        <v>1.45968753918303</v>
      </c>
      <c r="P13" s="3">
        <f t="shared" si="0"/>
        <v>51495.778789739757</v>
      </c>
    </row>
    <row r="14" spans="1:16" x14ac:dyDescent="0.35">
      <c r="A14" t="s">
        <v>19</v>
      </c>
      <c r="B14">
        <v>3</v>
      </c>
      <c r="C14">
        <v>6000</v>
      </c>
      <c r="D14">
        <v>10</v>
      </c>
      <c r="E14">
        <v>141089.835616439</v>
      </c>
      <c r="F14">
        <v>180851.763366364</v>
      </c>
      <c r="G14">
        <v>9009.9398802506803</v>
      </c>
      <c r="H14">
        <v>6484.3371825203403</v>
      </c>
      <c r="I14">
        <v>25427.472602739599</v>
      </c>
      <c r="J14">
        <v>8599.36997146055</v>
      </c>
      <c r="K14">
        <v>9778.6612025114191</v>
      </c>
      <c r="L14">
        <v>15494.277062771</v>
      </c>
      <c r="M14">
        <v>1425.19885437316</v>
      </c>
      <c r="N14">
        <v>0.107784431137724</v>
      </c>
      <c r="O14">
        <v>1.2818199310829099</v>
      </c>
      <c r="P14" s="3">
        <f t="shared" si="0"/>
        <v>60724.979693855727</v>
      </c>
    </row>
    <row r="15" spans="1:16" x14ac:dyDescent="0.35">
      <c r="A15" t="s">
        <v>19</v>
      </c>
      <c r="B15">
        <v>3</v>
      </c>
      <c r="C15">
        <v>7000</v>
      </c>
      <c r="D15">
        <v>10</v>
      </c>
      <c r="E15">
        <v>164604.808219178</v>
      </c>
      <c r="F15">
        <v>190504.78628350099</v>
      </c>
      <c r="G15">
        <v>10032.604456728501</v>
      </c>
      <c r="H15">
        <v>7026.5688957394304</v>
      </c>
      <c r="I15">
        <v>29909.134703197102</v>
      </c>
      <c r="J15">
        <v>10545.884248082401</v>
      </c>
      <c r="K15">
        <v>11438.611452872001</v>
      </c>
      <c r="L15">
        <v>17059.173352467998</v>
      </c>
      <c r="M15">
        <v>1435.62713867346</v>
      </c>
      <c r="N15">
        <v>0.179640718562874</v>
      </c>
      <c r="O15">
        <v>1.15734642471583</v>
      </c>
      <c r="P15" s="3">
        <f t="shared" si="0"/>
        <v>70388.430895292957</v>
      </c>
    </row>
    <row r="16" spans="1:16" x14ac:dyDescent="0.35">
      <c r="A16" t="s">
        <v>19</v>
      </c>
      <c r="B16">
        <v>3</v>
      </c>
      <c r="C16">
        <v>8000</v>
      </c>
      <c r="D16">
        <v>10</v>
      </c>
      <c r="E16">
        <v>188119.780821792</v>
      </c>
      <c r="F16">
        <v>200232.66945339</v>
      </c>
      <c r="G16">
        <v>12151.1741066471</v>
      </c>
      <c r="H16">
        <v>8506.1618324637002</v>
      </c>
      <c r="I16">
        <v>33895.456003932901</v>
      </c>
      <c r="J16">
        <v>11134.1989238396</v>
      </c>
      <c r="K16">
        <v>12993.696059624999</v>
      </c>
      <c r="L16">
        <v>20657.335939110799</v>
      </c>
      <c r="M16">
        <v>1435.62713867346</v>
      </c>
      <c r="N16">
        <v>0.179640718562874</v>
      </c>
      <c r="O16">
        <v>1.06438923423513</v>
      </c>
      <c r="P16" s="3">
        <f t="shared" si="0"/>
        <v>80116.314065181752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Summer Cost Summary</vt:lpstr>
      <vt:lpstr>Winter Cost Summary</vt:lpstr>
      <vt:lpstr>All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Churchill, Jake</dc:creator>
  <cp:lastModifiedBy>Churchill, Jake</cp:lastModifiedBy>
  <dcterms:created xsi:type="dcterms:W3CDTF">2015-06-05T18:17:20Z</dcterms:created>
  <dcterms:modified xsi:type="dcterms:W3CDTF">2026-08-24T18:00:43Z</dcterms:modified>
</cp:coreProperties>
</file>