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B329515E-084A-4E54-8B8C-54C1BB6A2CC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  <workbookView xWindow="43095" yWindow="0" windowWidth="14610" windowHeight="15585" activeTab="2" xr2:uid="{85126765-781C-418F-98CB-143316E98FFE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H12" i="2"/>
  <c r="P9" i="3"/>
  <c r="P2" i="3"/>
  <c r="P3" i="3"/>
  <c r="P4" i="3"/>
  <c r="P5" i="3"/>
  <c r="P7" i="3"/>
  <c r="P8" i="3"/>
  <c r="B4" i="4"/>
  <c r="B5" i="4"/>
  <c r="B6" i="4"/>
  <c r="G10" i="4"/>
  <c r="B12" i="4" s="1"/>
  <c r="P10" i="3"/>
  <c r="P11" i="3"/>
  <c r="P12" i="3"/>
  <c r="B20" i="4" l="1"/>
  <c r="P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D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E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<sst xmlns="http://schemas.openxmlformats.org/spreadsheetml/2006/main" count="36" uniqueCount="24">
  <si>
    <t>Annual AF</t>
  </si>
  <si>
    <t>Weekly Water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</si>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</sst>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P9" totalsRowShown="0" headerRowDxfId="1">
  <autoFilter ref="A1:P9" xr:uid="{61A7BF30-9E2E-4F6C-9DD3-062B2A684BE6}"/>
  <tableColumns count="16">
    <tableColumn id="1" xr3:uid="{FADC07E8-CEDF-4B75-BBE4-A01ACB71EDD0}" name="Season"/>
    <tableColumn id="2" xr3:uid="{19D40EF6-9320-45FB-A774-40B56854F6B1}" name="Rainy Days"/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Total OPEX Cost" dataDxfId="0">
      <calculatedColumnFormula>M2+L2+K2+J2+I2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G20"/>
  <sheetViews>
    <sheetView workbookViewId="0">
      <selection activeCell="C10" sqref="C10"/>
    </sheetView>
    <sheetView workbookViewId="1"/>
  </sheetViews>
  <sheetFormatPr defaultRowHeight="14.5" x14ac:dyDescent="0.35"/>
  <cols>
    <col min="2" max="2" width="9.26953125" bestFit="1" customWidth="1"/>
    <col min="3" max="3" width="13.453125" customWidth="1"/>
    <col min="4" max="4" width="9.81640625" customWidth="1"/>
    <col min="5" max="5" width="9.453125" customWidth="1"/>
    <col min="6" max="6" width="10.36328125" customWidth="1"/>
    <col min="7" max="7" width="18" bestFit="1" customWidth="1"/>
  </cols>
  <sheetData>
    <row r="1" spans="1:7" x14ac:dyDescent="0.35">
      <c r="D1" s="4" t="s">
        <v>2</v>
      </c>
      <c r="E1" s="4"/>
      <c r="F1" s="4"/>
    </row>
    <row r="2" spans="1:7" x14ac:dyDescent="0.35">
      <c r="D2">
        <v>0</v>
      </c>
      <c r="E2">
        <v>3</v>
      </c>
      <c r="F2">
        <v>5</v>
      </c>
    </row>
    <row r="3" spans="1:7" x14ac:dyDescent="0.35">
      <c r="B3" t="s">
        <v>0</v>
      </c>
      <c r="C3" t="s">
        <v>1</v>
      </c>
    </row>
    <row r="4" spans="1:7" x14ac:dyDescent="0.35">
      <c r="A4" t="s">
        <v>4</v>
      </c>
      <c r="B4" s="3">
        <f>C4/$G$10</f>
        <v>1190.7306933411717</v>
      </c>
      <c r="C4">
        <v>28000</v>
      </c>
      <c r="D4" s="1"/>
      <c r="E4" s="1"/>
    </row>
    <row r="5" spans="1:7" x14ac:dyDescent="0.35">
      <c r="B5" s="3">
        <f>C5/$G$10</f>
        <v>1798.4286079070769</v>
      </c>
      <c r="C5">
        <v>42290</v>
      </c>
      <c r="D5" s="1"/>
      <c r="E5" s="1"/>
    </row>
    <row r="6" spans="1:7" x14ac:dyDescent="0.35">
      <c r="B6" s="3">
        <f>C6/$G$10</f>
        <v>2397.9615120043568</v>
      </c>
      <c r="C6">
        <v>56388</v>
      </c>
      <c r="D6" s="1"/>
    </row>
    <row r="7" spans="1:7" x14ac:dyDescent="0.35">
      <c r="D7" s="1"/>
      <c r="F7" s="1"/>
    </row>
    <row r="8" spans="1:7" x14ac:dyDescent="0.35">
      <c r="D8" s="1"/>
      <c r="F8" s="1"/>
    </row>
    <row r="9" spans="1:7" x14ac:dyDescent="0.35">
      <c r="D9" s="1"/>
      <c r="F9" s="1"/>
      <c r="G9" t="s">
        <v>23</v>
      </c>
    </row>
    <row r="10" spans="1:7" x14ac:dyDescent="0.35">
      <c r="B10">
        <v>8000</v>
      </c>
      <c r="C10" s="3">
        <v>188119.78330000001</v>
      </c>
      <c r="D10" s="3">
        <v>80541.55863</v>
      </c>
      <c r="F10" s="1"/>
      <c r="G10">
        <f>C10/B10</f>
        <v>23.514972912500003</v>
      </c>
    </row>
    <row r="11" spans="1:7" x14ac:dyDescent="0.35">
      <c r="B11">
        <v>9000</v>
      </c>
      <c r="D11" s="3"/>
      <c r="F11" s="1"/>
    </row>
    <row r="12" spans="1:7" x14ac:dyDescent="0.35">
      <c r="B12" s="3">
        <f>C12/$G$10</f>
        <v>9591.8460480174272</v>
      </c>
      <c r="C12">
        <v>225552</v>
      </c>
      <c r="D12" s="1"/>
      <c r="E12" s="1"/>
      <c r="F12" s="1"/>
    </row>
    <row r="13" spans="1:7" x14ac:dyDescent="0.35">
      <c r="B13">
        <v>10000</v>
      </c>
      <c r="D13" s="3"/>
      <c r="E13" s="1"/>
      <c r="F13" s="1"/>
    </row>
    <row r="14" spans="1:7" x14ac:dyDescent="0.35">
      <c r="B14">
        <v>11000</v>
      </c>
      <c r="C14" s="3">
        <v>258664.69889999999</v>
      </c>
      <c r="D14" s="3">
        <v>108042.46335199999</v>
      </c>
      <c r="E14" s="1"/>
      <c r="F14" s="1"/>
    </row>
    <row r="15" spans="1:7" x14ac:dyDescent="0.35">
      <c r="B15">
        <v>12000</v>
      </c>
      <c r="D15" s="3"/>
      <c r="E15" s="1"/>
      <c r="F15" s="1"/>
    </row>
    <row r="16" spans="1:7" x14ac:dyDescent="0.35">
      <c r="B16">
        <v>13000</v>
      </c>
      <c r="D16" s="3"/>
      <c r="E16" s="1"/>
      <c r="F16" s="1"/>
    </row>
    <row r="17" spans="1:6" x14ac:dyDescent="0.35">
      <c r="B17">
        <v>14000</v>
      </c>
      <c r="C17" s="3">
        <v>329209.6164</v>
      </c>
      <c r="D17" s="3">
        <v>136028.56817899999</v>
      </c>
      <c r="E17" s="1"/>
      <c r="F17" s="1"/>
    </row>
    <row r="18" spans="1:6" x14ac:dyDescent="0.35">
      <c r="B18">
        <v>15000</v>
      </c>
      <c r="D18" s="3"/>
      <c r="E18" s="1"/>
      <c r="F18" s="1"/>
    </row>
    <row r="19" spans="1:6" x14ac:dyDescent="0.35">
      <c r="B19">
        <v>16000</v>
      </c>
      <c r="D19" s="3"/>
      <c r="E19" s="1"/>
      <c r="F19" s="1"/>
    </row>
    <row r="20" spans="1:6" x14ac:dyDescent="0.35">
      <c r="A20" t="s">
        <v>3</v>
      </c>
      <c r="B20">
        <f>C20/$G$10</f>
        <v>16785.730584030498</v>
      </c>
      <c r="C20">
        <v>394716</v>
      </c>
      <c r="D20" s="3">
        <v>171053.54809522501</v>
      </c>
      <c r="E20" s="1"/>
      <c r="F20" s="1"/>
    </row>
  </sheetData>
  <mergeCells count="1">
    <mergeCell ref="D1:F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H22"/>
  <sheetViews>
    <sheetView tabSelected="1" workbookViewId="0">
      <selection activeCell="F8" sqref="F8"/>
    </sheetView>
    <sheetView workbookViewId="1"/>
  </sheetViews>
  <sheetFormatPr defaultRowHeight="14.5" x14ac:dyDescent="0.35"/>
  <cols>
    <col min="3" max="3" width="9.26953125" bestFit="1" customWidth="1"/>
    <col min="4" max="4" width="13.453125" customWidth="1"/>
    <col min="5" max="5" width="9.81640625" customWidth="1"/>
    <col min="6" max="6" width="9.453125" customWidth="1"/>
    <col min="7" max="7" width="10.36328125" customWidth="1"/>
  </cols>
  <sheetData>
    <row r="1" spans="2:8" x14ac:dyDescent="0.35">
      <c r="E1" s="4" t="s">
        <v>2</v>
      </c>
      <c r="F1" s="4"/>
      <c r="G1" s="4"/>
    </row>
    <row r="2" spans="2:8" x14ac:dyDescent="0.35">
      <c r="E2">
        <v>0</v>
      </c>
      <c r="F2">
        <v>3</v>
      </c>
      <c r="G2">
        <v>5</v>
      </c>
    </row>
    <row r="3" spans="2:8" x14ac:dyDescent="0.35">
      <c r="C3" t="s">
        <v>0</v>
      </c>
      <c r="D3" t="s">
        <v>1</v>
      </c>
    </row>
    <row r="4" spans="2:8" x14ac:dyDescent="0.35">
      <c r="B4" t="s">
        <v>4</v>
      </c>
      <c r="C4">
        <v>1191</v>
      </c>
      <c r="D4" s="3">
        <v>28006.332369864798</v>
      </c>
      <c r="E4" s="1"/>
      <c r="F4" s="1"/>
      <c r="G4" s="3">
        <v>16720.240035535448</v>
      </c>
    </row>
    <row r="5" spans="2:8" x14ac:dyDescent="0.35">
      <c r="C5">
        <v>1798</v>
      </c>
      <c r="D5" s="3">
        <v>42292.226399718798</v>
      </c>
      <c r="E5" s="1"/>
      <c r="F5" s="1"/>
      <c r="G5" s="3">
        <v>22368.52857086459</v>
      </c>
    </row>
    <row r="6" spans="2:8" x14ac:dyDescent="0.35">
      <c r="C6">
        <v>2398</v>
      </c>
      <c r="D6" s="3">
        <v>56388.904300408598</v>
      </c>
      <c r="E6" s="1"/>
      <c r="F6" s="1"/>
      <c r="G6" s="3">
        <v>28772.571914996501</v>
      </c>
    </row>
    <row r="7" spans="2:8" x14ac:dyDescent="0.35">
      <c r="C7">
        <v>3000</v>
      </c>
      <c r="D7" s="3"/>
      <c r="E7" s="1"/>
      <c r="F7" s="1"/>
      <c r="G7" s="1"/>
    </row>
    <row r="8" spans="2:8" x14ac:dyDescent="0.35">
      <c r="C8">
        <v>4000</v>
      </c>
      <c r="E8" s="1"/>
      <c r="G8" s="1"/>
    </row>
    <row r="9" spans="2:8" x14ac:dyDescent="0.35">
      <c r="C9">
        <v>5000</v>
      </c>
      <c r="E9" s="1"/>
      <c r="G9" s="1"/>
    </row>
    <row r="10" spans="2:8" x14ac:dyDescent="0.35">
      <c r="C10">
        <v>6000</v>
      </c>
      <c r="E10" s="1"/>
      <c r="G10" s="1"/>
      <c r="H10" t="s">
        <v>23</v>
      </c>
    </row>
    <row r="11" spans="2:8" x14ac:dyDescent="0.35">
      <c r="C11">
        <v>7000</v>
      </c>
      <c r="E11" s="1"/>
      <c r="G11" s="1"/>
    </row>
    <row r="12" spans="2:8" x14ac:dyDescent="0.35">
      <c r="C12">
        <v>8000</v>
      </c>
      <c r="D12" s="3">
        <v>188119.78330000001</v>
      </c>
      <c r="G12" s="1"/>
      <c r="H12">
        <f>D12/C12</f>
        <v>23.514972912500003</v>
      </c>
    </row>
    <row r="13" spans="2:8" x14ac:dyDescent="0.35">
      <c r="C13">
        <v>9000</v>
      </c>
      <c r="G13" s="1"/>
    </row>
    <row r="14" spans="2:8" x14ac:dyDescent="0.35">
      <c r="C14" s="3">
        <f>D14/H12</f>
        <v>9591.8460480174272</v>
      </c>
      <c r="D14">
        <v>225552</v>
      </c>
      <c r="G14" s="1"/>
    </row>
    <row r="15" spans="2:8" x14ac:dyDescent="0.35">
      <c r="C15">
        <v>10000</v>
      </c>
      <c r="F15" s="1"/>
      <c r="G15" s="1"/>
    </row>
    <row r="16" spans="2:8" x14ac:dyDescent="0.35">
      <c r="C16">
        <v>11000</v>
      </c>
      <c r="F16" s="1"/>
      <c r="G16" s="1"/>
    </row>
    <row r="17" spans="2:7" x14ac:dyDescent="0.35">
      <c r="C17">
        <v>12000</v>
      </c>
      <c r="F17" s="1"/>
      <c r="G17" s="1"/>
    </row>
    <row r="18" spans="2:7" x14ac:dyDescent="0.35">
      <c r="C18">
        <v>13000</v>
      </c>
      <c r="F18" s="1"/>
      <c r="G18" s="1"/>
    </row>
    <row r="19" spans="2:7" x14ac:dyDescent="0.35">
      <c r="C19">
        <v>14000</v>
      </c>
      <c r="F19" s="1"/>
      <c r="G19" s="1"/>
    </row>
    <row r="20" spans="2:7" x14ac:dyDescent="0.35">
      <c r="C20">
        <v>15000</v>
      </c>
      <c r="F20" s="1"/>
      <c r="G20" s="1"/>
    </row>
    <row r="21" spans="2:7" x14ac:dyDescent="0.35">
      <c r="C21">
        <v>16000</v>
      </c>
      <c r="F21" s="1"/>
      <c r="G21" s="1"/>
    </row>
    <row r="22" spans="2:7" x14ac:dyDescent="0.35">
      <c r="B22" t="s">
        <v>3</v>
      </c>
      <c r="D22">
        <v>394716</v>
      </c>
      <c r="E22" s="3">
        <v>158104.1957609462</v>
      </c>
      <c r="F22" s="1"/>
      <c r="G22" s="1"/>
    </row>
  </sheetData>
  <mergeCells count="1">
    <mergeCell ref="E1:G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P12"/>
  <sheetViews>
    <sheetView workbookViewId="0">
      <selection activeCell="E4" sqref="E4"/>
    </sheetView>
    <sheetView tabSelected="1" workbookViewId="1">
      <selection activeCell="C9" sqref="C9"/>
    </sheetView>
  </sheetViews>
  <sheetFormatPr defaultRowHeight="14.5" x14ac:dyDescent="0.35"/>
  <cols>
    <col min="1" max="1" width="8.7265625" customWidth="1"/>
    <col min="2" max="2" width="11.81640625" customWidth="1"/>
    <col min="3" max="3" width="22.26953125" customWidth="1"/>
    <col min="4" max="4" width="28.81640625" customWidth="1"/>
    <col min="5" max="5" width="26.90625" customWidth="1"/>
    <col min="6" max="6" width="14" customWidth="1"/>
    <col min="7" max="7" width="20.08984375" customWidth="1"/>
    <col min="8" max="8" width="21.54296875" customWidth="1"/>
    <col min="9" max="9" width="18.453125" customWidth="1"/>
    <col min="10" max="10" width="18.81640625" customWidth="1"/>
    <col min="11" max="11" width="22" customWidth="1"/>
    <col min="12" max="12" width="22.54296875" customWidth="1"/>
    <col min="13" max="13" width="25.36328125" customWidth="1"/>
    <col min="14" max="14" width="19.1796875" customWidth="1"/>
    <col min="15" max="15" width="28.6328125" customWidth="1"/>
    <col min="16" max="16" width="16.26953125" style="3" customWidth="1"/>
  </cols>
  <sheetData>
    <row r="1" spans="1:16" x14ac:dyDescent="0.35">
      <c r="A1" s="2" t="s">
        <v>18</v>
      </c>
      <c r="B1" s="2" t="s">
        <v>22</v>
      </c>
      <c r="C1" s="2" t="s">
        <v>17</v>
      </c>
      <c r="D1" s="2" t="s">
        <v>16</v>
      </c>
      <c r="E1" s="2" t="s">
        <v>15</v>
      </c>
      <c r="F1" s="2" t="s">
        <v>14</v>
      </c>
      <c r="G1" s="2" t="s">
        <v>13</v>
      </c>
      <c r="H1" s="2" t="s">
        <v>12</v>
      </c>
      <c r="I1" s="2" t="s">
        <v>11</v>
      </c>
      <c r="J1" s="2" t="s">
        <v>10</v>
      </c>
      <c r="K1" s="2" t="s">
        <v>9</v>
      </c>
      <c r="L1" s="2" t="s">
        <v>8</v>
      </c>
      <c r="M1" s="2" t="s">
        <v>7</v>
      </c>
      <c r="N1" s="2" t="s">
        <v>6</v>
      </c>
      <c r="O1" s="2" t="s">
        <v>5</v>
      </c>
      <c r="P1" s="2" t="s">
        <v>20</v>
      </c>
    </row>
    <row r="2" spans="1:16" x14ac:dyDescent="0.35">
      <c r="A2" t="s">
        <v>19</v>
      </c>
      <c r="B2">
        <v>0</v>
      </c>
      <c r="C2">
        <v>1</v>
      </c>
      <c r="D2">
        <v>10</v>
      </c>
      <c r="E2">
        <v>394716</v>
      </c>
      <c r="F2">
        <v>278246.340858232</v>
      </c>
      <c r="G2">
        <v>26386.1783186127</v>
      </c>
      <c r="H2">
        <v>10787.4639632329</v>
      </c>
      <c r="I2">
        <v>71120.000035556499</v>
      </c>
      <c r="J2">
        <v>21407.1200065704</v>
      </c>
      <c r="K2">
        <v>26993.596007378099</v>
      </c>
      <c r="L2">
        <v>37173.642281845699</v>
      </c>
      <c r="M2">
        <v>1409.83742959549</v>
      </c>
      <c r="N2">
        <v>0</v>
      </c>
      <c r="O2">
        <v>0.70492795036996803</v>
      </c>
      <c r="P2" s="3">
        <f>M2+L2+K2+J2+I2</f>
        <v>158104.1957609462</v>
      </c>
    </row>
    <row r="3" spans="1:16" x14ac:dyDescent="0.35">
      <c r="A3" t="s">
        <v>21</v>
      </c>
      <c r="B3">
        <v>0</v>
      </c>
      <c r="C3">
        <v>1</v>
      </c>
      <c r="D3">
        <v>10</v>
      </c>
      <c r="E3">
        <v>394716</v>
      </c>
      <c r="F3">
        <v>291195.69319251098</v>
      </c>
      <c r="G3">
        <v>29835.6950167217</v>
      </c>
      <c r="H3">
        <v>20287.299599563899</v>
      </c>
      <c r="I3">
        <v>71120.000035515404</v>
      </c>
      <c r="J3">
        <v>21407.120006458899</v>
      </c>
      <c r="K3">
        <v>26993.596007369601</v>
      </c>
      <c r="L3">
        <v>50122.994616285599</v>
      </c>
      <c r="M3">
        <v>1409.83742959549</v>
      </c>
      <c r="N3">
        <v>0</v>
      </c>
      <c r="O3">
        <v>0.73773470848030298</v>
      </c>
      <c r="P3" s="3">
        <f t="shared" ref="P3:P12" si="0">M3+L3+K3+J3+I3</f>
        <v>171053.54809522501</v>
      </c>
    </row>
    <row r="4" spans="1:16" x14ac:dyDescent="0.35">
      <c r="A4" t="s">
        <v>21</v>
      </c>
      <c r="B4">
        <v>0</v>
      </c>
      <c r="C4">
        <v>8000</v>
      </c>
      <c r="D4">
        <v>10</v>
      </c>
      <c r="E4">
        <v>188119.78330000001</v>
      </c>
      <c r="F4">
        <v>200683.70370000001</v>
      </c>
      <c r="G4">
        <v>13644.59908</v>
      </c>
      <c r="H4">
        <v>8296.7277529999992</v>
      </c>
      <c r="I4">
        <v>33953.835149999999</v>
      </c>
      <c r="J4">
        <v>10359.425139999999</v>
      </c>
      <c r="K4">
        <v>12877.13408</v>
      </c>
      <c r="L4">
        <v>21941.326830000002</v>
      </c>
      <c r="M4">
        <v>1409.83743</v>
      </c>
      <c r="N4">
        <v>0</v>
      </c>
      <c r="O4">
        <v>1.0667868110000001</v>
      </c>
      <c r="P4" s="3">
        <f t="shared" si="0"/>
        <v>80541.55863</v>
      </c>
    </row>
    <row r="5" spans="1:16" x14ac:dyDescent="0.35">
      <c r="A5" t="s">
        <v>21</v>
      </c>
      <c r="B5">
        <v>0</v>
      </c>
      <c r="C5">
        <v>11000</v>
      </c>
      <c r="D5">
        <v>10</v>
      </c>
      <c r="E5">
        <v>258664.69889999999</v>
      </c>
      <c r="F5">
        <v>228171.83050000001</v>
      </c>
      <c r="G5">
        <v>18324.725719999999</v>
      </c>
      <c r="H5">
        <v>9759.3700439999993</v>
      </c>
      <c r="I5">
        <v>46660.582040000001</v>
      </c>
      <c r="J5">
        <v>14174.493689999999</v>
      </c>
      <c r="K5">
        <v>17700.676439999999</v>
      </c>
      <c r="L5">
        <v>28084.09577</v>
      </c>
      <c r="M5">
        <v>1422.6154120000001</v>
      </c>
      <c r="N5">
        <v>8.9820359000000002E-2</v>
      </c>
      <c r="O5">
        <v>0.88211430199999996</v>
      </c>
      <c r="P5" s="3">
        <f t="shared" si="0"/>
        <v>108042.46335199999</v>
      </c>
    </row>
    <row r="6" spans="1:16" x14ac:dyDescent="0.35">
      <c r="A6" t="s">
        <v>21</v>
      </c>
      <c r="B6">
        <v>0</v>
      </c>
      <c r="C6">
        <v>14000</v>
      </c>
      <c r="D6">
        <v>10</v>
      </c>
      <c r="E6">
        <v>329209.6164</v>
      </c>
      <c r="F6">
        <v>256144.92360000001</v>
      </c>
      <c r="G6">
        <v>23256.219349999999</v>
      </c>
      <c r="H6">
        <v>11424.37874</v>
      </c>
      <c r="I6">
        <v>59375.347860000002</v>
      </c>
      <c r="J6">
        <v>18011.112300000001</v>
      </c>
      <c r="K6">
        <v>22525.88279</v>
      </c>
      <c r="L6">
        <v>34680.59809</v>
      </c>
      <c r="M6">
        <v>1435.6271389999999</v>
      </c>
      <c r="N6">
        <v>0.179640719</v>
      </c>
      <c r="O6">
        <v>0.77806027200000005</v>
      </c>
      <c r="P6" s="3">
        <f t="shared" si="0"/>
        <v>136028.56817899999</v>
      </c>
    </row>
    <row r="7" spans="1:16" x14ac:dyDescent="0.35">
      <c r="A7" t="s">
        <v>19</v>
      </c>
      <c r="B7">
        <v>0</v>
      </c>
      <c r="C7">
        <v>2398</v>
      </c>
      <c r="D7">
        <v>10</v>
      </c>
      <c r="E7">
        <v>56388.904300408598</v>
      </c>
      <c r="F7">
        <v>148904.51312256299</v>
      </c>
      <c r="G7">
        <v>3492.0724412416398</v>
      </c>
      <c r="H7">
        <v>5287.8238927682696</v>
      </c>
      <c r="I7">
        <v>10272.519814514601</v>
      </c>
      <c r="J7">
        <v>4291.8348189990802</v>
      </c>
      <c r="K7">
        <v>4008.2796281577898</v>
      </c>
      <c r="L7">
        <v>8779.8963340099108</v>
      </c>
      <c r="M7">
        <v>1420.0413193151201</v>
      </c>
      <c r="N7">
        <v>7.1856287425149698E-2</v>
      </c>
      <c r="O7">
        <v>2.6406704469603199</v>
      </c>
      <c r="P7" s="3">
        <f t="shared" si="0"/>
        <v>28772.571914996501</v>
      </c>
    </row>
    <row r="8" spans="1:16" x14ac:dyDescent="0.35">
      <c r="A8" t="s">
        <v>19</v>
      </c>
      <c r="B8">
        <v>0</v>
      </c>
      <c r="C8">
        <v>1798</v>
      </c>
      <c r="D8">
        <v>10</v>
      </c>
      <c r="E8">
        <v>42292.226399718798</v>
      </c>
      <c r="F8">
        <v>142505.590119726</v>
      </c>
      <c r="G8">
        <v>2685.6739628165201</v>
      </c>
      <c r="H8">
        <v>4056.7859256987999</v>
      </c>
      <c r="I8">
        <v>7708.7043999531998</v>
      </c>
      <c r="J8">
        <v>3463.15238966165</v>
      </c>
      <c r="K8">
        <v>3039.2909147149098</v>
      </c>
      <c r="L8">
        <v>6742.45988851532</v>
      </c>
      <c r="M8">
        <v>1414.9209780195099</v>
      </c>
      <c r="N8">
        <v>3.59281437125748E-2</v>
      </c>
      <c r="O8">
        <v>3.36954571208561</v>
      </c>
      <c r="P8" s="3">
        <f t="shared" si="0"/>
        <v>22368.52857086459</v>
      </c>
    </row>
    <row r="9" spans="1:16" x14ac:dyDescent="0.35">
      <c r="A9" t="s">
        <v>19</v>
      </c>
      <c r="B9">
        <v>0</v>
      </c>
      <c r="C9">
        <v>1191</v>
      </c>
      <c r="D9">
        <v>10</v>
      </c>
      <c r="E9">
        <v>28006.332369864798</v>
      </c>
      <c r="F9">
        <v>136852.18124310201</v>
      </c>
      <c r="G9">
        <v>1795.6766797196899</v>
      </c>
      <c r="H9">
        <v>2651.1746633135699</v>
      </c>
      <c r="I9">
        <v>5102.7220616439199</v>
      </c>
      <c r="J9">
        <v>3562.36888913341</v>
      </c>
      <c r="K9">
        <v>2188.25642240973</v>
      </c>
      <c r="L9">
        <v>4446.8513430332696</v>
      </c>
      <c r="M9">
        <v>1420.0413193151201</v>
      </c>
      <c r="N9">
        <v>7.1856287425149698E-2</v>
      </c>
      <c r="O9">
        <v>4.8864727960722396</v>
      </c>
      <c r="P9" s="3">
        <f t="shared" si="0"/>
        <v>16720.240035535448</v>
      </c>
    </row>
    <row r="10" spans="1:16" x14ac:dyDescent="0.35">
      <c r="P10" s="3">
        <f t="shared" si="0"/>
        <v>0</v>
      </c>
    </row>
    <row r="11" spans="1:16" x14ac:dyDescent="0.35">
      <c r="P11" s="3">
        <f t="shared" si="0"/>
        <v>0</v>
      </c>
    </row>
    <row r="12" spans="1:16" x14ac:dyDescent="0.35">
      <c r="P12" s="3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2026-08-21T22:30:18Z</dcterms:modified>
</cp:coreProperties>
</file>