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churchi\watertap\tutorials\flex_ro\sweep results\"/>
    </mc:Choice>
  </mc:AlternateContent>
  <xr:revisionPtr revIDLastSave="0" documentId="13_ncr:1_{A48E7D25-833C-4631-BC61-2F4BFB338A12}" xr6:coauthVersionLast="47" xr6:coauthVersionMax="47" xr10:uidLastSave="{00000000-0000-0000-0000-000000000000}"/>
  <bookViews>
    <workbookView xWindow="-103" yWindow="-103" windowWidth="33120" windowHeight="18000" xr2:uid="{811D88E6-5E04-4AC4-9B26-930D2EA2E3F2}"/>
  </bookViews>
  <sheets>
    <sheet name="Summer Cost Summary" sheetId="4" r:id="rId1"/>
    <sheet name="Winter Cost Summary" sheetId="2" r:id="rId2"/>
    <sheet name="All 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D21" i="2"/>
  <c r="D20" i="2"/>
  <c r="D19" i="2"/>
  <c r="D18" i="2"/>
  <c r="D17" i="2"/>
  <c r="D16" i="2"/>
  <c r="D15" i="2"/>
  <c r="C5" i="3"/>
  <c r="I35" i="3"/>
  <c r="C35" i="3"/>
  <c r="C39" i="3" l="1"/>
  <c r="C24" i="3"/>
  <c r="C34" i="3"/>
  <c r="C36" i="3"/>
  <c r="C38" i="3"/>
  <c r="C25" i="3"/>
  <c r="C26" i="3"/>
  <c r="C27" i="3"/>
  <c r="C28" i="3"/>
  <c r="C29" i="3"/>
  <c r="C30" i="3"/>
  <c r="C31" i="3"/>
  <c r="C32" i="3"/>
  <c r="C33" i="3"/>
  <c r="C20" i="3" l="1"/>
  <c r="C6" i="3"/>
  <c r="C18" i="3"/>
  <c r="C2" i="3"/>
  <c r="C21" i="3"/>
  <c r="C37" i="3"/>
  <c r="C17" i="3"/>
  <c r="C19" i="3"/>
  <c r="C22" i="3"/>
  <c r="C23" i="3"/>
  <c r="C12" i="3"/>
  <c r="C13" i="3"/>
  <c r="C14" i="3"/>
  <c r="C15" i="3"/>
  <c r="B12" i="4"/>
  <c r="C21" i="4"/>
  <c r="H12" i="2"/>
  <c r="C14" i="2" s="1"/>
  <c r="C9" i="3"/>
  <c r="C3" i="3"/>
  <c r="C4" i="3"/>
  <c r="C10" i="3"/>
  <c r="C7" i="3"/>
  <c r="C8" i="3"/>
  <c r="B4" i="4"/>
  <c r="B5" i="4"/>
  <c r="B6" i="4"/>
  <c r="G10" i="4"/>
  <c r="C16" i="3"/>
  <c r="C11" i="3"/>
  <c r="B2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tc={7A97C2A1-F701-44DC-ACFB-FB00CE8362D6}</author>
    <author>tc={C6F4AE83-B49D-43EA-8F80-7B60FB4267DD}</author>
  </authors>
  <commentList>
    <comment ref="D1" authorId="0" shapeId="0" xr:uid="{7A97C2A1-F701-44DC-ACFB-FB00CE8362D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fine for winter, but for the summer, this would highly bias the results towards the weekend.</t>
      </text>
    </comment>
    <comment ref="A4" authorId="1" shapeId="0" xr:uid="{C6F4AE83-B49D-43EA-8F80-7B60FB4267D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Trains on for one day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tc={4E18937C-0B14-4E86-B599-4BF7BA80B225}</author>
    <author>tc={2CD69954-9FBF-4F0C-A085-7745F169BA9F}</author>
  </authors>
  <commentList>
    <comment ref="E1" authorId="0" shapeId="0" xr:uid="{4E18937C-0B14-4E86-B599-4BF7BA80B22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fine for winter, but for the summer, this would highly bias the results towards the weekend.</t>
      </text>
    </comment>
    <comment ref="B4" authorId="1" shapeId="0" xr:uid="{2CD69954-9FBF-4F0C-A085-7745F169BA9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Trains on for one day</t>
      </text>
    </comment>
  </commentList>
</comments>
</file>

<file path=xl/sharedStrings.xml><?xml version="1.0" encoding="utf-8"?>
<sst xmlns="http://schemas.openxmlformats.org/spreadsheetml/2006/main" count="96" uniqueCount="27">
  <si>
    <t>Annual AF</t>
  </si>
  <si>
    <t>Weekly Water</t>
  </si>
  <si>
    <t># of Rainy Days</t>
  </si>
  <si>
    <t>MAX</t>
  </si>
  <si>
    <t>MIN</t>
  </si>
  <si>
    <t>Levelized Cost of Water ($/m3)</t>
  </si>
  <si>
    <t>Degree of Flexibility</t>
  </si>
  <si>
    <t>Total Replacement Cost ($)</t>
  </si>
  <si>
    <t>Total Electricity Cost ($)</t>
  </si>
  <si>
    <t>Total Chemical Cost ($)</t>
  </si>
  <si>
    <t>Total Brine Cost ($)</t>
  </si>
  <si>
    <t>Total Feed Cost ($)</t>
  </si>
  <si>
    <t>Total Demand Cost ($)</t>
  </si>
  <si>
    <t>Total Energy Cost ($)</t>
  </si>
  <si>
    <t>Total Cost ($)</t>
  </si>
  <si>
    <t>Total Water Production (m3)</t>
  </si>
  <si>
    <t>Number of Allowed Shutdowns</t>
  </si>
  <si>
    <t>Annual Production (AF)</t>
  </si>
  <si>
    <t>Season</t>
  </si>
  <si>
    <t>Winter</t>
  </si>
  <si>
    <t>Total OPEX Cost</t>
  </si>
  <si>
    <t>Summer</t>
  </si>
  <si>
    <t>Rainy Days</t>
  </si>
  <si>
    <t>AF/year to m3/week</t>
  </si>
  <si>
    <t>Flexible?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</si>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</sst>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1" fontId="0" fillId="0" borderId="0" xfId="0" applyNumberFormat="1"/>
    <xf numFmtId="1" fontId="0" fillId="0" borderId="1" xfId="0" applyNumberFormat="1" applyBorder="1"/>
    <xf numFmtId="1" fontId="1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urchill, Jake" id="{D208FEB8-F7DA-4D83-AAE5-2EEFF5739FC7}" userId="S::rchurchi@nrel.gov::24b6a320-1211-4379-9513-990e66715a0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7BF30-9E2E-4F6C-9DD3-062B2A684BE6}" name="Table1" displayName="Table1" ref="A1:Q39" totalsRowShown="0" headerRowDxfId="2">
  <autoFilter ref="A1:Q39" xr:uid="{61A7BF30-9E2E-4F6C-9DD3-062B2A684BE6}">
    <filterColumn colId="0">
      <filters>
        <filter val="Summer"/>
      </filters>
    </filterColumn>
    <filterColumn colId="1">
      <filters>
        <filter val="0"/>
      </filters>
    </filterColumn>
    <filterColumn colId="3">
      <filters>
        <filter val="9000"/>
      </filters>
    </filterColumn>
  </autoFilter>
  <sortState xmlns:xlrd2="http://schemas.microsoft.com/office/spreadsheetml/2017/richdata2" ref="A2:Q39">
    <sortCondition ref="D1:D39"/>
  </sortState>
  <tableColumns count="17">
    <tableColumn id="1" xr3:uid="{FADC07E8-CEDF-4B75-BBE4-A01ACB71EDD0}" name="Season"/>
    <tableColumn id="2" xr3:uid="{19D40EF6-9320-45FB-A774-40B56854F6B1}" name="Rainy Days"/>
    <tableColumn id="17" xr3:uid="{81458AAC-294B-492C-8D06-7D9B9E12830A}" name="Total OPEX Cost" dataDxfId="1">
      <calculatedColumnFormula>N2+M2+L2+K2+J2</calculatedColumnFormula>
    </tableColumn>
    <tableColumn id="3" xr3:uid="{1F3F565E-E252-4005-928E-82A03DAD0C98}" name="Annual Production (AF)"/>
    <tableColumn id="4" xr3:uid="{3403EB11-E96C-47DE-93E7-64AE2DF24B9C}" name="Number of Allowed Shutdowns"/>
    <tableColumn id="5" xr3:uid="{3404FD88-9CB1-40B3-9593-EFD338F368D9}" name="Total Water Production (m3)"/>
    <tableColumn id="6" xr3:uid="{8B76C349-9602-4C87-BB96-8FCCAD5960B0}" name="Total Cost ($)"/>
    <tableColumn id="7" xr3:uid="{3CA80F15-7953-4B96-BC42-B84249A939B1}" name="Total Energy Cost ($)"/>
    <tableColumn id="8" xr3:uid="{97F35278-3929-4B6E-A404-1E99EE7EB204}" name="Total Demand Cost ($)"/>
    <tableColumn id="9" xr3:uid="{3D69CAC7-E215-46B8-AFCE-E602A8929E07}" name="Total Feed Cost ($)"/>
    <tableColumn id="10" xr3:uid="{D32D988A-834E-4DAB-B7F4-E431962063C9}" name="Total Brine Cost ($)"/>
    <tableColumn id="11" xr3:uid="{EACF1AE0-9662-4B39-831A-36F1D844ADD7}" name="Total Chemical Cost ($)"/>
    <tableColumn id="12" xr3:uid="{1B393A1A-7980-4033-89B4-E11F8D324A0B}" name="Total Electricity Cost ($)"/>
    <tableColumn id="13" xr3:uid="{2AE3D243-D71B-48B9-87D2-BFD00350BF9A}" name="Total Replacement Cost ($)"/>
    <tableColumn id="14" xr3:uid="{B5251DEF-3E31-4ABB-B44C-AE5BAB4EED3A}" name="Degree of Flexibility"/>
    <tableColumn id="15" xr3:uid="{2C164AA9-7F5B-49E1-A3E8-CC250E8A10E0}" name="Levelized Cost of Water ($/m3)"/>
    <tableColumn id="16" xr3:uid="{DD6FED5F-B3AC-4690-ADB6-A1351F19574D}" name="Flexibl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8-21T19:08:40.15" personId="{D208FEB8-F7DA-4D83-AAE5-2EEFF5739FC7}" id="{7A97C2A1-F701-44DC-ACFB-FB00CE8362D6}">
    <text>This is fine for winter, but for the summer, this would highly bias the results towards the weekend.</text>
  </threadedComment>
  <threadedComment ref="A4" dT="2026-08-21T19:09:12.49" personId="{D208FEB8-F7DA-4D83-AAE5-2EEFF5739FC7}" id="{C6F4AE83-B49D-43EA-8F80-7B60FB4267DD}">
    <text>Two Trains on for one day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6-08-21T19:08:40.15" personId="{D208FEB8-F7DA-4D83-AAE5-2EEFF5739FC7}" id="{4E18937C-0B14-4E86-B599-4BF7BA80B225}">
    <text>This is fine for winter, but for the summer, this would highly bias the results towards the weekend.</text>
  </threadedComment>
  <threadedComment ref="B4" dT="2026-08-21T19:09:12.49" personId="{D208FEB8-F7DA-4D83-AAE5-2EEFF5739FC7}" id="{2CD69954-9FBF-4F0C-A085-7745F169BA9F}">
    <text>Two Trains on for one day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DFCB-CD48-4284-8222-18B5894FE623}">
  <dimension ref="A1:G21"/>
  <sheetViews>
    <sheetView tabSelected="1" workbookViewId="0">
      <selection activeCell="D10" sqref="D10:D20"/>
    </sheetView>
  </sheetViews>
  <sheetFormatPr defaultRowHeight="14.6" x14ac:dyDescent="0.4"/>
  <cols>
    <col min="2" max="2" width="9.23046875" bestFit="1" customWidth="1"/>
    <col min="3" max="3" width="13.4609375" customWidth="1"/>
    <col min="4" max="4" width="9.84375" customWidth="1"/>
    <col min="5" max="5" width="9.4609375" customWidth="1"/>
    <col min="6" max="6" width="10.3828125" customWidth="1"/>
    <col min="7" max="7" width="18" bestFit="1" customWidth="1"/>
  </cols>
  <sheetData>
    <row r="1" spans="1:7" x14ac:dyDescent="0.4">
      <c r="D1" s="6" t="s">
        <v>2</v>
      </c>
      <c r="E1" s="6"/>
      <c r="F1" s="6"/>
    </row>
    <row r="2" spans="1:7" x14ac:dyDescent="0.4">
      <c r="D2">
        <v>0</v>
      </c>
      <c r="E2">
        <v>3</v>
      </c>
      <c r="F2">
        <v>5</v>
      </c>
    </row>
    <row r="3" spans="1:7" x14ac:dyDescent="0.4">
      <c r="B3" t="s">
        <v>0</v>
      </c>
      <c r="C3" t="s">
        <v>1</v>
      </c>
    </row>
    <row r="4" spans="1:7" x14ac:dyDescent="0.4">
      <c r="A4" t="s">
        <v>4</v>
      </c>
      <c r="B4" s="3">
        <f>C4/$G$10</f>
        <v>1190.7306933411717</v>
      </c>
      <c r="C4">
        <v>28000</v>
      </c>
      <c r="D4" s="1"/>
      <c r="E4" s="1"/>
    </row>
    <row r="5" spans="1:7" x14ac:dyDescent="0.4">
      <c r="B5" s="3">
        <f>C5/$G$10</f>
        <v>1798.4286079070769</v>
      </c>
      <c r="C5">
        <v>42290</v>
      </c>
      <c r="D5" s="1"/>
      <c r="E5" s="1"/>
    </row>
    <row r="6" spans="1:7" x14ac:dyDescent="0.4">
      <c r="B6" s="3">
        <f>C6/$G$10</f>
        <v>2397.9615120043568</v>
      </c>
      <c r="C6">
        <v>56388</v>
      </c>
      <c r="D6" s="1"/>
    </row>
    <row r="7" spans="1:7" x14ac:dyDescent="0.4">
      <c r="D7" s="1"/>
      <c r="F7" s="1"/>
    </row>
    <row r="8" spans="1:7" x14ac:dyDescent="0.4">
      <c r="D8" s="1"/>
      <c r="F8" s="1"/>
    </row>
    <row r="9" spans="1:7" x14ac:dyDescent="0.4">
      <c r="D9" s="1"/>
      <c r="F9" s="1"/>
      <c r="G9" t="s">
        <v>23</v>
      </c>
    </row>
    <row r="10" spans="1:7" x14ac:dyDescent="0.4">
      <c r="B10">
        <v>8000</v>
      </c>
      <c r="C10" s="3">
        <v>188119.78330000001</v>
      </c>
      <c r="D10" s="3">
        <v>80541.55863</v>
      </c>
      <c r="F10" s="1"/>
      <c r="G10">
        <f>C10/B10</f>
        <v>23.514972912500003</v>
      </c>
    </row>
    <row r="11" spans="1:7" x14ac:dyDescent="0.4">
      <c r="B11">
        <v>9000</v>
      </c>
      <c r="C11" s="3">
        <v>211634.775495949</v>
      </c>
      <c r="D11" s="3">
        <v>90280.635276184097</v>
      </c>
      <c r="F11" s="1"/>
    </row>
    <row r="12" spans="1:7" hidden="1" x14ac:dyDescent="0.4">
      <c r="B12" s="3">
        <f>C12/$G$10</f>
        <v>9591.8460480174272</v>
      </c>
      <c r="C12">
        <v>225552</v>
      </c>
      <c r="D12" s="1"/>
      <c r="F12" s="1"/>
    </row>
    <row r="13" spans="1:7" x14ac:dyDescent="0.4">
      <c r="B13">
        <v>10000</v>
      </c>
      <c r="C13" s="4">
        <v>235149.72602739499</v>
      </c>
      <c r="D13" s="3">
        <v>99135.784106883366</v>
      </c>
      <c r="E13" s="1"/>
      <c r="F13" s="1"/>
    </row>
    <row r="14" spans="1:7" x14ac:dyDescent="0.4">
      <c r="B14">
        <v>11000</v>
      </c>
      <c r="C14" s="3">
        <v>258664.69889999999</v>
      </c>
      <c r="D14" s="3">
        <v>108042.46335199999</v>
      </c>
      <c r="E14" s="1"/>
      <c r="F14" s="1"/>
    </row>
    <row r="15" spans="1:7" x14ac:dyDescent="0.4">
      <c r="B15">
        <v>12000</v>
      </c>
      <c r="C15" s="3">
        <v>282179.67123257701</v>
      </c>
      <c r="D15" s="3">
        <v>117856.65704778227</v>
      </c>
      <c r="E15" s="1"/>
      <c r="F15" s="1"/>
    </row>
    <row r="16" spans="1:7" x14ac:dyDescent="0.4">
      <c r="B16">
        <v>13000</v>
      </c>
      <c r="C16" s="3">
        <v>305694.64383561601</v>
      </c>
      <c r="D16" s="3">
        <v>126980.73146875472</v>
      </c>
      <c r="E16" s="1"/>
      <c r="F16" s="1"/>
    </row>
    <row r="17" spans="1:6" x14ac:dyDescent="0.4">
      <c r="B17">
        <v>14000</v>
      </c>
      <c r="C17" s="3">
        <v>329209.6164</v>
      </c>
      <c r="D17" s="3">
        <v>135947.17095224367</v>
      </c>
      <c r="E17" s="1"/>
      <c r="F17" s="1"/>
    </row>
    <row r="18" spans="1:6" x14ac:dyDescent="0.4">
      <c r="B18">
        <v>15000</v>
      </c>
      <c r="C18" s="3">
        <v>352809.20411343698</v>
      </c>
      <c r="D18" s="3">
        <v>146231.12922675692</v>
      </c>
      <c r="E18" s="1"/>
      <c r="F18" s="1"/>
    </row>
    <row r="19" spans="1:6" x14ac:dyDescent="0.4">
      <c r="B19">
        <v>16000</v>
      </c>
      <c r="C19" s="3">
        <v>376239.56164383498</v>
      </c>
      <c r="D19" s="3">
        <v>159412.81974307698</v>
      </c>
      <c r="E19" s="1"/>
      <c r="F19" s="1"/>
    </row>
    <row r="20" spans="1:6" x14ac:dyDescent="0.4">
      <c r="A20" t="s">
        <v>3</v>
      </c>
      <c r="B20" s="3">
        <f>C20/$G$10</f>
        <v>16785.730584030498</v>
      </c>
      <c r="C20" s="3">
        <v>394716</v>
      </c>
      <c r="D20" s="3">
        <v>171053.54809522501</v>
      </c>
      <c r="E20" s="1"/>
      <c r="F20" s="1"/>
    </row>
    <row r="21" spans="1:6" x14ac:dyDescent="0.4">
      <c r="C21">
        <f>C20*4/7</f>
        <v>225552</v>
      </c>
    </row>
  </sheetData>
  <mergeCells count="1">
    <mergeCell ref="D1:F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D5E1-F801-4839-8C05-CA5C31CB2DFA}">
  <dimension ref="B1:H22"/>
  <sheetViews>
    <sheetView workbookViewId="0">
      <selection activeCell="E12" sqref="E12:E22"/>
    </sheetView>
  </sheetViews>
  <sheetFormatPr defaultRowHeight="14.6" x14ac:dyDescent="0.4"/>
  <cols>
    <col min="3" max="3" width="9.23046875" bestFit="1" customWidth="1"/>
    <col min="4" max="4" width="13.4609375" customWidth="1"/>
    <col min="5" max="5" width="9.84375" customWidth="1"/>
    <col min="6" max="6" width="9.4609375" customWidth="1"/>
    <col min="7" max="7" width="10.3828125" customWidth="1"/>
  </cols>
  <sheetData>
    <row r="1" spans="2:8" x14ac:dyDescent="0.4">
      <c r="E1" s="6" t="s">
        <v>2</v>
      </c>
      <c r="F1" s="6"/>
      <c r="G1" s="6"/>
    </row>
    <row r="2" spans="2:8" x14ac:dyDescent="0.4">
      <c r="E2">
        <v>0</v>
      </c>
      <c r="F2">
        <v>3</v>
      </c>
      <c r="G2">
        <v>5</v>
      </c>
    </row>
    <row r="3" spans="2:8" x14ac:dyDescent="0.4">
      <c r="C3" t="s">
        <v>0</v>
      </c>
      <c r="D3" t="s">
        <v>1</v>
      </c>
    </row>
    <row r="4" spans="2:8" x14ac:dyDescent="0.4">
      <c r="B4" t="s">
        <v>4</v>
      </c>
      <c r="C4">
        <v>1191</v>
      </c>
      <c r="D4" s="3">
        <v>28006.332369864798</v>
      </c>
      <c r="E4" s="1"/>
      <c r="F4" s="1"/>
      <c r="G4" s="3">
        <v>16720.240035535448</v>
      </c>
    </row>
    <row r="5" spans="2:8" x14ac:dyDescent="0.4">
      <c r="C5">
        <v>1798</v>
      </c>
      <c r="D5" s="3">
        <v>42292.226399718798</v>
      </c>
      <c r="E5" s="1"/>
      <c r="F5" s="1"/>
      <c r="G5" s="3">
        <v>22368.52857086459</v>
      </c>
    </row>
    <row r="6" spans="2:8" x14ac:dyDescent="0.4">
      <c r="C6">
        <v>2398</v>
      </c>
      <c r="D6" s="3">
        <v>56388.904300408598</v>
      </c>
      <c r="E6" s="1"/>
      <c r="F6" s="1"/>
      <c r="G6" s="3">
        <v>28772.571914996501</v>
      </c>
    </row>
    <row r="7" spans="2:8" x14ac:dyDescent="0.4">
      <c r="C7">
        <v>3000</v>
      </c>
      <c r="D7" s="3"/>
      <c r="E7" s="1"/>
      <c r="F7" s="1"/>
      <c r="G7" s="1"/>
    </row>
    <row r="8" spans="2:8" x14ac:dyDescent="0.4">
      <c r="C8">
        <v>4000</v>
      </c>
      <c r="D8" s="3">
        <v>94059.890410960099</v>
      </c>
      <c r="E8" s="1"/>
      <c r="F8" s="3">
        <v>41752.231305558547</v>
      </c>
      <c r="G8" s="1"/>
    </row>
    <row r="9" spans="2:8" x14ac:dyDescent="0.4">
      <c r="C9">
        <v>5000</v>
      </c>
      <c r="D9" s="3">
        <v>117574.86301369801</v>
      </c>
      <c r="E9" s="1"/>
      <c r="F9" s="3">
        <v>51495.778789739757</v>
      </c>
      <c r="G9" s="1"/>
    </row>
    <row r="10" spans="2:8" x14ac:dyDescent="0.4">
      <c r="C10">
        <v>6000</v>
      </c>
      <c r="D10" s="3">
        <v>141089.835616439</v>
      </c>
      <c r="E10" s="1"/>
      <c r="F10" s="3">
        <v>60724.979693855727</v>
      </c>
      <c r="G10" s="1"/>
      <c r="H10" t="s">
        <v>23</v>
      </c>
    </row>
    <row r="11" spans="2:8" x14ac:dyDescent="0.4">
      <c r="C11">
        <v>7000</v>
      </c>
      <c r="D11" s="3">
        <v>164604.808219178</v>
      </c>
      <c r="E11" s="1"/>
      <c r="F11" s="3">
        <v>70388.430895292957</v>
      </c>
      <c r="G11" s="1"/>
    </row>
    <row r="12" spans="2:8" x14ac:dyDescent="0.4">
      <c r="C12">
        <v>8000</v>
      </c>
      <c r="D12" s="3">
        <v>188119.780821792</v>
      </c>
      <c r="E12">
        <v>75507</v>
      </c>
      <c r="F12" s="3">
        <v>80116.314065181752</v>
      </c>
      <c r="G12" s="1"/>
      <c r="H12">
        <f>D12/C12</f>
        <v>23.514972602724001</v>
      </c>
    </row>
    <row r="13" spans="2:8" x14ac:dyDescent="0.4">
      <c r="C13">
        <v>9000</v>
      </c>
      <c r="D13" s="4">
        <v>211634.75342465701</v>
      </c>
      <c r="E13" s="3">
        <v>85155.50909649636</v>
      </c>
      <c r="F13" s="3">
        <v>90891.797768890829</v>
      </c>
      <c r="G13" s="1"/>
    </row>
    <row r="14" spans="2:8" x14ac:dyDescent="0.4">
      <c r="C14" s="3">
        <f>D14/H12</f>
        <v>9591.8461743762273</v>
      </c>
      <c r="D14">
        <v>225552</v>
      </c>
      <c r="E14" s="1"/>
      <c r="G14" s="1"/>
    </row>
    <row r="15" spans="2:8" x14ac:dyDescent="0.4">
      <c r="C15">
        <v>10000</v>
      </c>
      <c r="D15" s="3">
        <f>C15*$H$12</f>
        <v>235149.72602724002</v>
      </c>
      <c r="E15">
        <v>93848</v>
      </c>
      <c r="F15" s="1"/>
      <c r="G15" s="1"/>
    </row>
    <row r="16" spans="2:8" x14ac:dyDescent="0.4">
      <c r="C16">
        <v>11000</v>
      </c>
      <c r="D16" s="3">
        <f t="shared" ref="D16:D22" si="0">C16*$H$12</f>
        <v>258664.698629964</v>
      </c>
      <c r="E16" s="3">
        <v>102961.15922754805</v>
      </c>
      <c r="F16" s="1"/>
      <c r="G16" s="1"/>
    </row>
    <row r="17" spans="2:7" x14ac:dyDescent="0.4">
      <c r="C17">
        <v>12000</v>
      </c>
      <c r="D17" s="3">
        <f t="shared" si="0"/>
        <v>282179.67123268801</v>
      </c>
      <c r="E17">
        <v>112554.99851567688</v>
      </c>
      <c r="F17" s="1"/>
      <c r="G17" s="1"/>
    </row>
    <row r="18" spans="2:7" x14ac:dyDescent="0.4">
      <c r="C18">
        <v>13000</v>
      </c>
      <c r="D18" s="3">
        <f t="shared" si="0"/>
        <v>305694.64383541199</v>
      </c>
      <c r="E18" s="3">
        <v>121344.56621300505</v>
      </c>
      <c r="F18" s="1"/>
      <c r="G18" s="1"/>
    </row>
    <row r="19" spans="2:7" x14ac:dyDescent="0.4">
      <c r="C19">
        <v>14000</v>
      </c>
      <c r="D19" s="3">
        <f t="shared" si="0"/>
        <v>329209.61643813603</v>
      </c>
      <c r="E19" s="3">
        <v>130424.39365381806</v>
      </c>
      <c r="F19" s="1"/>
      <c r="G19" s="1"/>
    </row>
    <row r="20" spans="2:7" x14ac:dyDescent="0.4">
      <c r="C20">
        <v>15000</v>
      </c>
      <c r="D20" s="3">
        <f t="shared" si="0"/>
        <v>352724.58904086001</v>
      </c>
      <c r="E20" s="3">
        <v>140645.20979357499</v>
      </c>
      <c r="F20" s="1"/>
      <c r="G20" s="1"/>
    </row>
    <row r="21" spans="2:7" x14ac:dyDescent="0.4">
      <c r="C21">
        <v>16000</v>
      </c>
      <c r="D21" s="3">
        <f t="shared" si="0"/>
        <v>376239.56164358399</v>
      </c>
      <c r="E21" s="3">
        <v>149838.83143944858</v>
      </c>
      <c r="F21" s="1"/>
      <c r="G21" s="1"/>
    </row>
    <row r="22" spans="2:7" x14ac:dyDescent="0.4">
      <c r="B22" t="s">
        <v>3</v>
      </c>
      <c r="C22" s="3">
        <v>16785.730584030498</v>
      </c>
      <c r="D22" s="3">
        <f t="shared" si="0"/>
        <v>394715.99480018351</v>
      </c>
      <c r="E22" s="3">
        <v>158104.1957609462</v>
      </c>
      <c r="F22" s="1"/>
      <c r="G22" s="1"/>
    </row>
  </sheetData>
  <mergeCells count="1">
    <mergeCell ref="E1:G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9D92-5C1B-43B6-BE00-3D23C35CC93C}">
  <dimension ref="A1:Q39"/>
  <sheetViews>
    <sheetView workbookViewId="0">
      <selection activeCell="C5" sqref="C5"/>
    </sheetView>
  </sheetViews>
  <sheetFormatPr defaultRowHeight="14.6" x14ac:dyDescent="0.4"/>
  <cols>
    <col min="1" max="1" width="8.69140625" customWidth="1"/>
    <col min="2" max="3" width="11.84375" customWidth="1"/>
    <col min="4" max="4" width="22.23046875" customWidth="1"/>
    <col min="5" max="5" width="28.84375" customWidth="1"/>
    <col min="6" max="6" width="26.921875" customWidth="1"/>
    <col min="7" max="7" width="14" customWidth="1"/>
    <col min="8" max="8" width="20.07421875" customWidth="1"/>
    <col min="9" max="9" width="21.53515625" customWidth="1"/>
    <col min="10" max="10" width="18.4609375" customWidth="1"/>
    <col min="11" max="11" width="18.84375" customWidth="1"/>
    <col min="12" max="12" width="22" customWidth="1"/>
    <col min="13" max="13" width="22.53515625" customWidth="1"/>
    <col min="14" max="14" width="25.3828125" customWidth="1"/>
    <col min="15" max="15" width="19.15234375" customWidth="1"/>
    <col min="16" max="16" width="28.61328125" customWidth="1"/>
    <col min="17" max="17" width="16.23046875" style="3" customWidth="1"/>
  </cols>
  <sheetData>
    <row r="1" spans="1:17" x14ac:dyDescent="0.4">
      <c r="A1" s="2" t="s">
        <v>18</v>
      </c>
      <c r="B1" s="2" t="s">
        <v>22</v>
      </c>
      <c r="C1" s="2" t="s">
        <v>20</v>
      </c>
      <c r="D1" s="2" t="s">
        <v>17</v>
      </c>
      <c r="E1" s="2" t="s">
        <v>16</v>
      </c>
      <c r="F1" s="2" t="s">
        <v>15</v>
      </c>
      <c r="G1" s="2" t="s">
        <v>14</v>
      </c>
      <c r="H1" s="2" t="s">
        <v>13</v>
      </c>
      <c r="I1" s="2" t="s">
        <v>12</v>
      </c>
      <c r="J1" s="2" t="s">
        <v>11</v>
      </c>
      <c r="K1" s="2" t="s">
        <v>10</v>
      </c>
      <c r="L1" s="2" t="s">
        <v>9</v>
      </c>
      <c r="M1" s="2" t="s">
        <v>8</v>
      </c>
      <c r="N1" s="2" t="s">
        <v>7</v>
      </c>
      <c r="O1" s="2" t="s">
        <v>6</v>
      </c>
      <c r="P1" s="2" t="s">
        <v>5</v>
      </c>
      <c r="Q1" s="5" t="s">
        <v>24</v>
      </c>
    </row>
    <row r="2" spans="1:17" hidden="1" x14ac:dyDescent="0.4">
      <c r="A2" t="s">
        <v>19</v>
      </c>
      <c r="B2">
        <v>0</v>
      </c>
      <c r="C2" s="3">
        <f t="shared" ref="C2:C39" si="0">N2+M2+L2+K2+J2</f>
        <v>158104.1957609462</v>
      </c>
      <c r="D2">
        <v>1</v>
      </c>
      <c r="E2">
        <v>10</v>
      </c>
      <c r="F2">
        <v>394716</v>
      </c>
      <c r="G2">
        <v>278246.340858232</v>
      </c>
      <c r="H2">
        <v>26386.1783186127</v>
      </c>
      <c r="I2">
        <v>10787.4639632329</v>
      </c>
      <c r="J2">
        <v>71120.000035556499</v>
      </c>
      <c r="K2">
        <v>21407.1200065704</v>
      </c>
      <c r="L2">
        <v>26993.596007378099</v>
      </c>
      <c r="M2">
        <v>37173.642281845699</v>
      </c>
      <c r="N2">
        <v>1409.83742959549</v>
      </c>
      <c r="O2">
        <v>0</v>
      </c>
      <c r="P2">
        <v>0.70492795036996803</v>
      </c>
      <c r="Q2" s="3" t="s">
        <v>25</v>
      </c>
    </row>
    <row r="3" spans="1:17" hidden="1" x14ac:dyDescent="0.4">
      <c r="A3" t="s">
        <v>21</v>
      </c>
      <c r="B3">
        <v>0</v>
      </c>
      <c r="C3" s="3">
        <f t="shared" si="0"/>
        <v>171053.54809522501</v>
      </c>
      <c r="D3">
        <v>1</v>
      </c>
      <c r="E3">
        <v>10</v>
      </c>
      <c r="F3">
        <v>394716</v>
      </c>
      <c r="G3">
        <v>291195.69319251098</v>
      </c>
      <c r="H3">
        <v>29835.6950167217</v>
      </c>
      <c r="I3">
        <v>20287.299599563899</v>
      </c>
      <c r="J3">
        <v>71120.000035515404</v>
      </c>
      <c r="K3">
        <v>21407.120006458899</v>
      </c>
      <c r="L3">
        <v>26993.596007369601</v>
      </c>
      <c r="M3">
        <v>50122.994616285599</v>
      </c>
      <c r="N3">
        <v>1409.83742959549</v>
      </c>
      <c r="O3">
        <v>0</v>
      </c>
      <c r="P3">
        <v>0.73773470848030298</v>
      </c>
      <c r="Q3" s="3" t="s">
        <v>25</v>
      </c>
    </row>
    <row r="4" spans="1:17" hidden="1" x14ac:dyDescent="0.4">
      <c r="A4" t="s">
        <v>21</v>
      </c>
      <c r="B4">
        <v>0</v>
      </c>
      <c r="C4" s="3">
        <f t="shared" si="0"/>
        <v>80541.55863</v>
      </c>
      <c r="D4">
        <v>8000</v>
      </c>
      <c r="E4">
        <v>10</v>
      </c>
      <c r="F4">
        <v>188119.78330000001</v>
      </c>
      <c r="G4">
        <v>200683.70370000001</v>
      </c>
      <c r="H4">
        <v>13644.59908</v>
      </c>
      <c r="I4">
        <v>8296.7277529999992</v>
      </c>
      <c r="J4">
        <v>33953.835149999999</v>
      </c>
      <c r="K4">
        <v>10359.425139999999</v>
      </c>
      <c r="L4">
        <v>12877.13408</v>
      </c>
      <c r="M4">
        <v>21941.326830000002</v>
      </c>
      <c r="N4">
        <v>1409.83743</v>
      </c>
      <c r="O4">
        <v>0</v>
      </c>
      <c r="P4">
        <v>1.0667868110000001</v>
      </c>
      <c r="Q4" s="3" t="s">
        <v>25</v>
      </c>
    </row>
    <row r="5" spans="1:17" x14ac:dyDescent="0.4">
      <c r="A5" t="s">
        <v>21</v>
      </c>
      <c r="B5">
        <v>0</v>
      </c>
      <c r="C5" s="3">
        <f>N5+M5+L5+K5+J5</f>
        <v>90280.635276184097</v>
      </c>
      <c r="D5">
        <v>9000</v>
      </c>
      <c r="E5">
        <v>10</v>
      </c>
      <c r="F5">
        <v>211634.75342465701</v>
      </c>
      <c r="G5">
        <v>210417.696825046</v>
      </c>
      <c r="H5">
        <v>14646.6764757971</v>
      </c>
      <c r="I5">
        <v>8813.4656236474493</v>
      </c>
      <c r="J5">
        <v>38471.8456521587</v>
      </c>
      <c r="K5">
        <v>12390.141217574101</v>
      </c>
      <c r="L5">
        <v>14543.585328987299</v>
      </c>
      <c r="M5">
        <v>23460.1420994445</v>
      </c>
      <c r="N5">
        <v>1414.9209780195099</v>
      </c>
      <c r="O5">
        <v>3.59281437125748E-2</v>
      </c>
      <c r="P5">
        <v>0.99424925925483998</v>
      </c>
      <c r="Q5" s="3" t="s">
        <v>25</v>
      </c>
    </row>
    <row r="6" spans="1:17" hidden="1" x14ac:dyDescent="0.4">
      <c r="A6" t="s">
        <v>21</v>
      </c>
      <c r="B6">
        <v>0</v>
      </c>
      <c r="C6" s="3">
        <f t="shared" si="0"/>
        <v>99135.784106883366</v>
      </c>
      <c r="D6">
        <v>10000</v>
      </c>
      <c r="E6">
        <v>10</v>
      </c>
      <c r="F6">
        <v>235149.72602739499</v>
      </c>
      <c r="G6">
        <v>219262.567779392</v>
      </c>
      <c r="H6">
        <v>16362.727098568001</v>
      </c>
      <c r="I6">
        <v>9463.2475261001691</v>
      </c>
      <c r="J6">
        <v>42544.121004540699</v>
      </c>
      <c r="K6">
        <v>13222.943008009999</v>
      </c>
      <c r="L6">
        <v>16117.5466152914</v>
      </c>
      <c r="M6">
        <v>25825.974624668099</v>
      </c>
      <c r="N6">
        <v>1425.19885437316</v>
      </c>
      <c r="O6">
        <v>0.107784431137724</v>
      </c>
      <c r="P6">
        <v>0.93243811712477798</v>
      </c>
      <c r="Q6" s="3" t="s">
        <v>25</v>
      </c>
    </row>
    <row r="7" spans="1:17" hidden="1" x14ac:dyDescent="0.4">
      <c r="A7" t="s">
        <v>19</v>
      </c>
      <c r="B7">
        <v>5</v>
      </c>
      <c r="C7" s="3">
        <f t="shared" si="0"/>
        <v>28772.571914996501</v>
      </c>
      <c r="D7">
        <v>2398</v>
      </c>
      <c r="E7">
        <v>10</v>
      </c>
      <c r="F7">
        <v>56388.904300408598</v>
      </c>
      <c r="G7">
        <v>148904.51312256299</v>
      </c>
      <c r="H7">
        <v>3492.0724412416398</v>
      </c>
      <c r="I7">
        <v>5287.8238927682696</v>
      </c>
      <c r="J7">
        <v>10272.519814514601</v>
      </c>
      <c r="K7">
        <v>4291.8348189990802</v>
      </c>
      <c r="L7">
        <v>4008.2796281577898</v>
      </c>
      <c r="M7">
        <v>8779.8963340099108</v>
      </c>
      <c r="N7">
        <v>1420.0413193151201</v>
      </c>
      <c r="O7">
        <v>7.1856287425149698E-2</v>
      </c>
      <c r="P7">
        <v>2.6406704469603199</v>
      </c>
    </row>
    <row r="8" spans="1:17" hidden="1" x14ac:dyDescent="0.4">
      <c r="A8" t="s">
        <v>19</v>
      </c>
      <c r="B8">
        <v>5</v>
      </c>
      <c r="C8" s="3">
        <f t="shared" si="0"/>
        <v>22368.52857086459</v>
      </c>
      <c r="D8">
        <v>1798</v>
      </c>
      <c r="E8">
        <v>10</v>
      </c>
      <c r="F8">
        <v>42292.226399718798</v>
      </c>
      <c r="G8">
        <v>142505.590119726</v>
      </c>
      <c r="H8">
        <v>2685.6739628165201</v>
      </c>
      <c r="I8">
        <v>4056.7859256987999</v>
      </c>
      <c r="J8">
        <v>7708.7043999531998</v>
      </c>
      <c r="K8">
        <v>3463.15238966165</v>
      </c>
      <c r="L8">
        <v>3039.2909147149098</v>
      </c>
      <c r="M8">
        <v>6742.45988851532</v>
      </c>
      <c r="N8">
        <v>1414.9209780195099</v>
      </c>
      <c r="O8">
        <v>3.59281437125748E-2</v>
      </c>
      <c r="P8">
        <v>3.36954571208561</v>
      </c>
    </row>
    <row r="9" spans="1:17" hidden="1" x14ac:dyDescent="0.4">
      <c r="A9" t="s">
        <v>19</v>
      </c>
      <c r="B9">
        <v>5</v>
      </c>
      <c r="C9" s="3">
        <f t="shared" si="0"/>
        <v>16720.240035535448</v>
      </c>
      <c r="D9">
        <v>1191</v>
      </c>
      <c r="E9">
        <v>10</v>
      </c>
      <c r="F9">
        <v>28006.332369864798</v>
      </c>
      <c r="G9">
        <v>136852.18124310201</v>
      </c>
      <c r="H9">
        <v>1795.6766797196899</v>
      </c>
      <c r="I9">
        <v>2651.1746633135699</v>
      </c>
      <c r="J9">
        <v>5102.7220616439199</v>
      </c>
      <c r="K9">
        <v>3562.36888913341</v>
      </c>
      <c r="L9">
        <v>2188.25642240973</v>
      </c>
      <c r="M9">
        <v>4446.8513430332696</v>
      </c>
      <c r="N9">
        <v>1420.0413193151201</v>
      </c>
      <c r="O9">
        <v>7.1856287425149698E-2</v>
      </c>
      <c r="P9">
        <v>4.8864727960722396</v>
      </c>
    </row>
    <row r="10" spans="1:17" hidden="1" x14ac:dyDescent="0.4">
      <c r="A10" t="s">
        <v>21</v>
      </c>
      <c r="B10">
        <v>0</v>
      </c>
      <c r="C10" s="3">
        <f t="shared" si="0"/>
        <v>108042.46335199999</v>
      </c>
      <c r="D10">
        <v>11000</v>
      </c>
      <c r="E10">
        <v>10</v>
      </c>
      <c r="F10">
        <v>258664.69889999999</v>
      </c>
      <c r="G10">
        <v>228171.83050000001</v>
      </c>
      <c r="H10">
        <v>18324.725719999999</v>
      </c>
      <c r="I10">
        <v>9759.3700439999993</v>
      </c>
      <c r="J10">
        <v>46660.582040000001</v>
      </c>
      <c r="K10">
        <v>14174.493689999999</v>
      </c>
      <c r="L10">
        <v>17700.676439999999</v>
      </c>
      <c r="M10">
        <v>28084.09577</v>
      </c>
      <c r="N10">
        <v>1422.6154120000001</v>
      </c>
      <c r="O10">
        <v>8.9820359000000002E-2</v>
      </c>
      <c r="P10">
        <v>0.88211430199999996</v>
      </c>
      <c r="Q10" s="3" t="s">
        <v>25</v>
      </c>
    </row>
    <row r="11" spans="1:17" hidden="1" x14ac:dyDescent="0.4">
      <c r="A11" t="s">
        <v>19</v>
      </c>
      <c r="B11">
        <v>3</v>
      </c>
      <c r="C11" s="3">
        <f t="shared" si="0"/>
        <v>41752.231305558547</v>
      </c>
      <c r="D11">
        <v>4000</v>
      </c>
      <c r="E11">
        <v>10</v>
      </c>
      <c r="F11" s="3">
        <v>94059.890410960099</v>
      </c>
      <c r="G11">
        <v>161889.29285442</v>
      </c>
      <c r="H11">
        <v>5971.5226878267204</v>
      </c>
      <c r="I11">
        <v>4341.2709885715803</v>
      </c>
      <c r="J11">
        <v>17071.648401826398</v>
      </c>
      <c r="K11">
        <v>6365.9688698622604</v>
      </c>
      <c r="L11">
        <v>6586.8993794520802</v>
      </c>
      <c r="M11">
        <v>10312.7936763983</v>
      </c>
      <c r="N11">
        <v>1414.9209780195099</v>
      </c>
      <c r="O11">
        <v>3.59281437125748E-2</v>
      </c>
      <c r="P11">
        <v>1.7211299327173799</v>
      </c>
    </row>
    <row r="12" spans="1:17" hidden="1" x14ac:dyDescent="0.4">
      <c r="A12" t="s">
        <v>19</v>
      </c>
      <c r="B12">
        <v>3</v>
      </c>
      <c r="C12" s="3">
        <f t="shared" si="0"/>
        <v>51495.778789739757</v>
      </c>
      <c r="D12">
        <v>5000</v>
      </c>
      <c r="E12">
        <v>10</v>
      </c>
      <c r="F12" s="3">
        <v>117574.86301369801</v>
      </c>
      <c r="G12">
        <v>171622.562462248</v>
      </c>
      <c r="H12">
        <v>7165.5493259188897</v>
      </c>
      <c r="I12">
        <v>5351.6814382900502</v>
      </c>
      <c r="J12">
        <v>21410.810502291701</v>
      </c>
      <c r="K12">
        <v>7925.0526824229901</v>
      </c>
      <c r="L12">
        <v>8217.4859864430091</v>
      </c>
      <c r="M12">
        <v>12517.2307642089</v>
      </c>
      <c r="N12">
        <v>1425.19885437316</v>
      </c>
      <c r="O12">
        <v>0.107784431137724</v>
      </c>
      <c r="P12">
        <v>1.45968753918303</v>
      </c>
    </row>
    <row r="13" spans="1:17" hidden="1" x14ac:dyDescent="0.4">
      <c r="A13" t="s">
        <v>19</v>
      </c>
      <c r="B13">
        <v>3</v>
      </c>
      <c r="C13" s="3">
        <f t="shared" si="0"/>
        <v>60724.979693855727</v>
      </c>
      <c r="D13">
        <v>6000</v>
      </c>
      <c r="E13">
        <v>10</v>
      </c>
      <c r="F13" s="3">
        <v>141089.835616439</v>
      </c>
      <c r="G13">
        <v>180851.763366364</v>
      </c>
      <c r="H13">
        <v>9009.9398802506803</v>
      </c>
      <c r="I13">
        <v>6484.3371825203403</v>
      </c>
      <c r="J13">
        <v>25427.472602739599</v>
      </c>
      <c r="K13">
        <v>8599.36997146055</v>
      </c>
      <c r="L13">
        <v>9778.6612025114191</v>
      </c>
      <c r="M13">
        <v>15494.277062771</v>
      </c>
      <c r="N13">
        <v>1425.19885437316</v>
      </c>
      <c r="O13">
        <v>0.107784431137724</v>
      </c>
      <c r="P13">
        <v>1.2818199310829099</v>
      </c>
    </row>
    <row r="14" spans="1:17" hidden="1" x14ac:dyDescent="0.4">
      <c r="A14" t="s">
        <v>19</v>
      </c>
      <c r="B14">
        <v>3</v>
      </c>
      <c r="C14" s="3">
        <f t="shared" si="0"/>
        <v>70388.430895292957</v>
      </c>
      <c r="D14">
        <v>7000</v>
      </c>
      <c r="E14">
        <v>10</v>
      </c>
      <c r="F14" s="3">
        <v>164604.808219178</v>
      </c>
      <c r="G14">
        <v>190504.78628350099</v>
      </c>
      <c r="H14">
        <v>10032.604456728501</v>
      </c>
      <c r="I14">
        <v>7026.5688957394304</v>
      </c>
      <c r="J14">
        <v>29909.134703197102</v>
      </c>
      <c r="K14">
        <v>10545.884248082401</v>
      </c>
      <c r="L14">
        <v>11438.611452872001</v>
      </c>
      <c r="M14">
        <v>17059.173352467998</v>
      </c>
      <c r="N14">
        <v>1435.62713867346</v>
      </c>
      <c r="O14">
        <v>0.179640718562874</v>
      </c>
      <c r="P14">
        <v>1.15734642471583</v>
      </c>
    </row>
    <row r="15" spans="1:17" hidden="1" x14ac:dyDescent="0.4">
      <c r="A15" t="s">
        <v>19</v>
      </c>
      <c r="B15">
        <v>3</v>
      </c>
      <c r="C15" s="3">
        <f t="shared" si="0"/>
        <v>80116.314065181752</v>
      </c>
      <c r="D15">
        <v>8000</v>
      </c>
      <c r="E15">
        <v>10</v>
      </c>
      <c r="F15" s="3">
        <v>188119.780821792</v>
      </c>
      <c r="G15">
        <v>200232.66945339</v>
      </c>
      <c r="H15">
        <v>12151.1741066471</v>
      </c>
      <c r="I15">
        <v>8506.1618324637002</v>
      </c>
      <c r="J15">
        <v>33895.456003932901</v>
      </c>
      <c r="K15">
        <v>11134.1989238396</v>
      </c>
      <c r="L15">
        <v>12993.696059624999</v>
      </c>
      <c r="M15">
        <v>20657.335939110799</v>
      </c>
      <c r="N15">
        <v>1435.62713867346</v>
      </c>
      <c r="O15">
        <v>0.179640718562874</v>
      </c>
      <c r="P15">
        <v>1.06438923423513</v>
      </c>
    </row>
    <row r="16" spans="1:17" hidden="1" x14ac:dyDescent="0.4">
      <c r="A16" t="s">
        <v>19</v>
      </c>
      <c r="B16">
        <v>3</v>
      </c>
      <c r="C16" s="3">
        <f t="shared" si="0"/>
        <v>90891.797768890829</v>
      </c>
      <c r="D16">
        <v>9000</v>
      </c>
      <c r="E16">
        <v>10</v>
      </c>
      <c r="F16" s="3">
        <v>211634.75342465701</v>
      </c>
      <c r="G16">
        <v>211023.73897645701</v>
      </c>
      <c r="H16">
        <v>13979.8948916106</v>
      </c>
      <c r="I16">
        <v>10348.134497098899</v>
      </c>
      <c r="J16">
        <v>38132.388004442699</v>
      </c>
      <c r="K16">
        <v>12409.515456003901</v>
      </c>
      <c r="L16">
        <v>14601.823600419501</v>
      </c>
      <c r="M16">
        <v>24328.029388709601</v>
      </c>
      <c r="N16">
        <v>1420.0413193151201</v>
      </c>
      <c r="O16">
        <v>7.1856287425149698E-2</v>
      </c>
      <c r="P16">
        <v>0.99711288227329198</v>
      </c>
    </row>
    <row r="17" spans="1:17" hidden="1" x14ac:dyDescent="0.4">
      <c r="A17" t="s">
        <v>21</v>
      </c>
      <c r="B17">
        <v>0</v>
      </c>
      <c r="C17" s="3">
        <f t="shared" si="0"/>
        <v>117856.65704778227</v>
      </c>
      <c r="D17">
        <v>12000</v>
      </c>
      <c r="E17">
        <v>10</v>
      </c>
      <c r="F17">
        <v>282179.67123257701</v>
      </c>
      <c r="G17">
        <v>237975.63378803901</v>
      </c>
      <c r="H17">
        <v>19793.405782867099</v>
      </c>
      <c r="I17">
        <v>10184.8467366445</v>
      </c>
      <c r="J17">
        <v>51100.150850479702</v>
      </c>
      <c r="K17">
        <v>15994.396781481701</v>
      </c>
      <c r="L17">
        <v>19350.851109684401</v>
      </c>
      <c r="M17">
        <v>29978.252519511701</v>
      </c>
      <c r="N17">
        <v>1433.00578662475</v>
      </c>
      <c r="O17">
        <v>0.16167664670658599</v>
      </c>
      <c r="P17">
        <v>0.84334790223742195</v>
      </c>
      <c r="Q17" s="3" t="s">
        <v>25</v>
      </c>
    </row>
    <row r="18" spans="1:17" hidden="1" x14ac:dyDescent="0.4">
      <c r="A18" t="s">
        <v>21</v>
      </c>
      <c r="B18">
        <v>0</v>
      </c>
      <c r="C18" s="3">
        <f t="shared" si="0"/>
        <v>126980.73146875472</v>
      </c>
      <c r="D18">
        <v>13000</v>
      </c>
      <c r="E18">
        <v>10</v>
      </c>
      <c r="F18">
        <v>305694.64383561601</v>
      </c>
      <c r="G18">
        <v>247102.32000570599</v>
      </c>
      <c r="H18">
        <v>21131.9353706074</v>
      </c>
      <c r="I18">
        <v>10804.733671505701</v>
      </c>
      <c r="J18">
        <v>55349.379031353703</v>
      </c>
      <c r="K18">
        <v>17302.759297447999</v>
      </c>
      <c r="L18">
        <v>20961.530107909999</v>
      </c>
      <c r="M18">
        <v>31936.669042113201</v>
      </c>
      <c r="N18">
        <v>1430.39398992981</v>
      </c>
      <c r="O18">
        <v>0.14371257485029901</v>
      </c>
      <c r="P18">
        <v>0.80833055138049104</v>
      </c>
      <c r="Q18" s="3" t="s">
        <v>25</v>
      </c>
    </row>
    <row r="19" spans="1:17" hidden="1" x14ac:dyDescent="0.4">
      <c r="A19" t="s">
        <v>21</v>
      </c>
      <c r="B19">
        <v>0</v>
      </c>
      <c r="C19" s="3">
        <f t="shared" si="0"/>
        <v>135947.17095224367</v>
      </c>
      <c r="D19">
        <v>14000</v>
      </c>
      <c r="E19">
        <v>10</v>
      </c>
      <c r="F19">
        <v>329210.46374056302</v>
      </c>
      <c r="G19">
        <v>256066.1476925</v>
      </c>
      <c r="H19">
        <v>23209.551664587099</v>
      </c>
      <c r="I19">
        <v>11406.5894564259</v>
      </c>
      <c r="J19">
        <v>59371.758428007903</v>
      </c>
      <c r="K19">
        <v>18001.101366829</v>
      </c>
      <c r="L19">
        <v>22525.164249769001</v>
      </c>
      <c r="M19">
        <v>34616.141121013003</v>
      </c>
      <c r="N19">
        <v>1433.00578662475</v>
      </c>
      <c r="O19">
        <v>0.16167664670658599</v>
      </c>
      <c r="P19">
        <v>0.77781898176327602</v>
      </c>
      <c r="Q19" s="3" t="s">
        <v>25</v>
      </c>
    </row>
    <row r="20" spans="1:17" hidden="1" x14ac:dyDescent="0.4">
      <c r="A20" t="s">
        <v>19</v>
      </c>
      <c r="B20">
        <v>0</v>
      </c>
      <c r="C20" s="3">
        <f t="shared" si="0"/>
        <v>75506.612155252791</v>
      </c>
      <c r="D20">
        <v>8000</v>
      </c>
      <c r="E20">
        <v>10</v>
      </c>
      <c r="F20">
        <v>188119.780821919</v>
      </c>
      <c r="G20">
        <v>195648.75725253901</v>
      </c>
      <c r="H20">
        <v>12161.6977771738</v>
      </c>
      <c r="I20">
        <v>4972.06836104795</v>
      </c>
      <c r="J20">
        <v>33895.456003948602</v>
      </c>
      <c r="K20">
        <v>10202.532257188101</v>
      </c>
      <c r="L20">
        <v>12865.0203262988</v>
      </c>
      <c r="M20">
        <v>17133.766138221799</v>
      </c>
      <c r="N20">
        <v>1409.83742959549</v>
      </c>
      <c r="O20">
        <v>0</v>
      </c>
      <c r="P20">
        <v>1.0400222475155101</v>
      </c>
      <c r="Q20" s="3" t="s">
        <v>25</v>
      </c>
    </row>
    <row r="21" spans="1:17" hidden="1" x14ac:dyDescent="0.4">
      <c r="A21" t="s">
        <v>19</v>
      </c>
      <c r="B21">
        <v>0</v>
      </c>
      <c r="C21" s="3">
        <f t="shared" si="0"/>
        <v>85155.50909649636</v>
      </c>
      <c r="D21">
        <v>9000</v>
      </c>
      <c r="E21">
        <v>10</v>
      </c>
      <c r="F21">
        <v>211634.75342469101</v>
      </c>
      <c r="G21">
        <v>205282.292769005</v>
      </c>
      <c r="H21">
        <v>12976.0938250995</v>
      </c>
      <c r="I21">
        <v>5920.7681019027004</v>
      </c>
      <c r="J21">
        <v>38324.958904122599</v>
      </c>
      <c r="K21">
        <v>11995.3830822276</v>
      </c>
      <c r="L21">
        <v>14513.1063287708</v>
      </c>
      <c r="M21">
        <v>18896.861927002199</v>
      </c>
      <c r="N21">
        <v>1425.19885437316</v>
      </c>
      <c r="O21">
        <v>0.107784431137724</v>
      </c>
      <c r="P21">
        <v>0.96998384928330195</v>
      </c>
      <c r="Q21" s="3" t="s">
        <v>25</v>
      </c>
    </row>
    <row r="22" spans="1:17" hidden="1" x14ac:dyDescent="0.4">
      <c r="A22" t="s">
        <v>21</v>
      </c>
      <c r="B22">
        <v>0</v>
      </c>
      <c r="C22" s="3">
        <f t="shared" si="0"/>
        <v>146231.12922675692</v>
      </c>
      <c r="D22">
        <v>15000</v>
      </c>
      <c r="E22">
        <v>10</v>
      </c>
      <c r="F22">
        <v>352809.20411343698</v>
      </c>
      <c r="G22">
        <v>266342.21303428401</v>
      </c>
      <c r="H22">
        <v>25570.474362879599</v>
      </c>
      <c r="I22">
        <v>12131.5584602935</v>
      </c>
      <c r="J22">
        <v>63635.191303077299</v>
      </c>
      <c r="K22">
        <v>19311.618858247301</v>
      </c>
      <c r="L22">
        <v>24141.387522905101</v>
      </c>
      <c r="M22">
        <v>37702.032823173198</v>
      </c>
      <c r="N22">
        <v>1440.8987193540199</v>
      </c>
      <c r="O22">
        <v>0.215568862275449</v>
      </c>
      <c r="P22">
        <v>0.75491855067547597</v>
      </c>
      <c r="Q22" s="3" t="s">
        <v>25</v>
      </c>
    </row>
    <row r="23" spans="1:17" hidden="1" x14ac:dyDescent="0.4">
      <c r="A23" t="s">
        <v>21</v>
      </c>
      <c r="B23">
        <v>0</v>
      </c>
      <c r="C23" s="3">
        <f t="shared" si="0"/>
        <v>159412.81974307698</v>
      </c>
      <c r="D23">
        <v>16000</v>
      </c>
      <c r="E23">
        <v>10</v>
      </c>
      <c r="F23">
        <v>376239.56164383498</v>
      </c>
      <c r="G23">
        <v>279542.18685761699</v>
      </c>
      <c r="H23">
        <v>27786.2889118024</v>
      </c>
      <c r="I23">
        <v>16122.056810759999</v>
      </c>
      <c r="J23">
        <v>67830.922645459694</v>
      </c>
      <c r="K23">
        <v>20512.593102821898</v>
      </c>
      <c r="L23">
        <v>25738.3428598918</v>
      </c>
      <c r="M23">
        <v>43908.345722562502</v>
      </c>
      <c r="N23">
        <v>1422.6154123410699</v>
      </c>
      <c r="O23">
        <v>8.9820359281437098E-2</v>
      </c>
      <c r="P23">
        <v>0.74298988026741397</v>
      </c>
      <c r="Q23" s="3" t="s">
        <v>25</v>
      </c>
    </row>
    <row r="24" spans="1:17" hidden="1" x14ac:dyDescent="0.4">
      <c r="A24" t="s">
        <v>19</v>
      </c>
      <c r="B24">
        <v>0</v>
      </c>
      <c r="C24" s="3">
        <f t="shared" si="0"/>
        <v>93848.445066986911</v>
      </c>
      <c r="D24">
        <v>10000</v>
      </c>
      <c r="E24">
        <v>10</v>
      </c>
      <c r="F24">
        <v>235174.795346464</v>
      </c>
      <c r="G24">
        <v>213972.635897431</v>
      </c>
      <c r="H24">
        <v>14616.4032867845</v>
      </c>
      <c r="I24">
        <v>6351.5554479330704</v>
      </c>
      <c r="J24">
        <v>42435.799224394301</v>
      </c>
      <c r="K24">
        <v>12921.0484166359</v>
      </c>
      <c r="L24">
        <v>16095.846994802199</v>
      </c>
      <c r="M24">
        <v>20967.958734717598</v>
      </c>
      <c r="N24">
        <v>1427.7916964369099</v>
      </c>
      <c r="O24">
        <v>0.125748502994011</v>
      </c>
      <c r="P24">
        <v>0.90984510301030797</v>
      </c>
      <c r="Q24" s="3" t="s">
        <v>25</v>
      </c>
    </row>
    <row r="25" spans="1:17" hidden="1" x14ac:dyDescent="0.4">
      <c r="A25" t="s">
        <v>21</v>
      </c>
      <c r="B25">
        <v>0</v>
      </c>
      <c r="C25" s="3">
        <f t="shared" si="0"/>
        <v>81475.122661244794</v>
      </c>
      <c r="D25">
        <v>8000</v>
      </c>
      <c r="E25">
        <v>10</v>
      </c>
      <c r="F25">
        <v>188119.780842915</v>
      </c>
      <c r="G25">
        <v>201617.267758531</v>
      </c>
      <c r="H25">
        <v>13751.620935814901</v>
      </c>
      <c r="I25">
        <v>9350.6556949398891</v>
      </c>
      <c r="J25">
        <v>33895.456009555302</v>
      </c>
      <c r="K25">
        <v>10202.5322632261</v>
      </c>
      <c r="L25">
        <v>12865.0203281131</v>
      </c>
      <c r="M25">
        <v>23102.276630754801</v>
      </c>
      <c r="N25">
        <v>1409.83742959549</v>
      </c>
      <c r="O25">
        <v>0</v>
      </c>
      <c r="P25">
        <v>1.0717494293005001</v>
      </c>
      <c r="Q25" s="3" t="s">
        <v>26</v>
      </c>
    </row>
    <row r="26" spans="1:17" x14ac:dyDescent="0.4">
      <c r="A26" t="s">
        <v>21</v>
      </c>
      <c r="B26">
        <v>0</v>
      </c>
      <c r="C26" s="3">
        <f t="shared" si="0"/>
        <v>120337.96252123939</v>
      </c>
      <c r="D26">
        <v>9000</v>
      </c>
      <c r="E26">
        <v>10</v>
      </c>
      <c r="F26">
        <v>279720</v>
      </c>
      <c r="G26">
        <v>240480.10761852501</v>
      </c>
      <c r="H26">
        <v>20374.4461607105</v>
      </c>
      <c r="I26">
        <v>13853.958930933501</v>
      </c>
      <c r="J26">
        <v>50400</v>
      </c>
      <c r="K26">
        <v>15170.3999999999</v>
      </c>
      <c r="L26">
        <v>19129.32</v>
      </c>
      <c r="M26">
        <v>34228.405091644003</v>
      </c>
      <c r="N26">
        <v>1409.83742959549</v>
      </c>
      <c r="O26">
        <v>0</v>
      </c>
      <c r="P26">
        <v>0.85971724445347397</v>
      </c>
      <c r="Q26" s="3" t="s">
        <v>26</v>
      </c>
    </row>
    <row r="27" spans="1:17" hidden="1" x14ac:dyDescent="0.4">
      <c r="A27" t="s">
        <v>21</v>
      </c>
      <c r="B27">
        <v>0</v>
      </c>
      <c r="C27" s="3">
        <f t="shared" si="0"/>
        <v>120337.96252123939</v>
      </c>
      <c r="D27">
        <v>10000</v>
      </c>
      <c r="E27">
        <v>10</v>
      </c>
      <c r="F27">
        <v>279720</v>
      </c>
      <c r="G27">
        <v>240480.10761852501</v>
      </c>
      <c r="H27">
        <v>20374.4461607105</v>
      </c>
      <c r="I27">
        <v>13853.958930933501</v>
      </c>
      <c r="J27">
        <v>50400</v>
      </c>
      <c r="K27">
        <v>15170.3999999999</v>
      </c>
      <c r="L27">
        <v>19129.32</v>
      </c>
      <c r="M27">
        <v>34228.405091644003</v>
      </c>
      <c r="N27">
        <v>1409.83742959549</v>
      </c>
      <c r="O27">
        <v>0</v>
      </c>
      <c r="P27">
        <v>0.85971724445347397</v>
      </c>
      <c r="Q27" s="3" t="s">
        <v>26</v>
      </c>
    </row>
    <row r="28" spans="1:17" hidden="1" x14ac:dyDescent="0.4">
      <c r="A28" t="s">
        <v>21</v>
      </c>
      <c r="B28">
        <v>0</v>
      </c>
      <c r="C28" s="3">
        <f t="shared" si="0"/>
        <v>120337.96252123939</v>
      </c>
      <c r="D28">
        <v>11000</v>
      </c>
      <c r="E28">
        <v>10</v>
      </c>
      <c r="F28">
        <v>279720</v>
      </c>
      <c r="G28">
        <v>240480.10761852501</v>
      </c>
      <c r="H28">
        <v>20374.4461607105</v>
      </c>
      <c r="I28">
        <v>13853.958930933501</v>
      </c>
      <c r="J28">
        <v>50400</v>
      </c>
      <c r="K28">
        <v>15170.3999999999</v>
      </c>
      <c r="L28">
        <v>19129.32</v>
      </c>
      <c r="M28">
        <v>34228.405091644003</v>
      </c>
      <c r="N28">
        <v>1409.83742959549</v>
      </c>
      <c r="O28">
        <v>0</v>
      </c>
      <c r="P28">
        <v>0.85971724445347397</v>
      </c>
      <c r="Q28" s="3" t="s">
        <v>26</v>
      </c>
    </row>
    <row r="29" spans="1:17" hidden="1" x14ac:dyDescent="0.4">
      <c r="A29" t="s">
        <v>21</v>
      </c>
      <c r="B29">
        <v>0</v>
      </c>
      <c r="C29" s="3">
        <f t="shared" si="0"/>
        <v>121509.10762980059</v>
      </c>
      <c r="D29">
        <v>12000</v>
      </c>
      <c r="E29">
        <v>10</v>
      </c>
      <c r="F29">
        <v>282179.67123287602</v>
      </c>
      <c r="G29">
        <v>241651.25272708701</v>
      </c>
      <c r="H29">
        <v>20628.2321749736</v>
      </c>
      <c r="I29">
        <v>14026.525144076701</v>
      </c>
      <c r="J29">
        <v>50843.184005923598</v>
      </c>
      <c r="K29">
        <v>15303.798385783</v>
      </c>
      <c r="L29">
        <v>19297.5304894482</v>
      </c>
      <c r="M29">
        <v>34654.757319050303</v>
      </c>
      <c r="N29">
        <v>1409.83742959549</v>
      </c>
      <c r="O29">
        <v>0</v>
      </c>
      <c r="P29">
        <v>0.85637371278832397</v>
      </c>
      <c r="Q29" s="3" t="s">
        <v>26</v>
      </c>
    </row>
    <row r="30" spans="1:17" hidden="1" x14ac:dyDescent="0.4">
      <c r="A30" t="s">
        <v>21</v>
      </c>
      <c r="B30">
        <v>0</v>
      </c>
      <c r="C30" s="3">
        <f t="shared" si="0"/>
        <v>160240.68755374721</v>
      </c>
      <c r="D30">
        <v>13000</v>
      </c>
      <c r="E30">
        <v>10</v>
      </c>
      <c r="F30">
        <v>372960.01384574</v>
      </c>
      <c r="G30">
        <v>280382.83265103301</v>
      </c>
      <c r="H30">
        <v>27320.699397881199</v>
      </c>
      <c r="I30">
        <v>18577.186526806599</v>
      </c>
      <c r="J30">
        <v>67200.002496512097</v>
      </c>
      <c r="K30">
        <v>20227.200755707701</v>
      </c>
      <c r="L30">
        <v>25505.7609472441</v>
      </c>
      <c r="M30">
        <v>45897.885924687798</v>
      </c>
      <c r="N30">
        <v>1409.83742959549</v>
      </c>
      <c r="O30">
        <v>0</v>
      </c>
      <c r="P30">
        <v>0.75177719391388198</v>
      </c>
      <c r="Q30" s="3" t="s">
        <v>26</v>
      </c>
    </row>
    <row r="31" spans="1:17" hidden="1" x14ac:dyDescent="0.4">
      <c r="A31" t="s">
        <v>21</v>
      </c>
      <c r="B31">
        <v>0</v>
      </c>
      <c r="C31" s="3">
        <f t="shared" si="0"/>
        <v>160240.68755374721</v>
      </c>
      <c r="D31">
        <v>14000</v>
      </c>
      <c r="E31">
        <v>10</v>
      </c>
      <c r="F31">
        <v>372960.01384574</v>
      </c>
      <c r="G31">
        <v>280382.83265103301</v>
      </c>
      <c r="H31">
        <v>27320.699397881199</v>
      </c>
      <c r="I31">
        <v>18577.186526806599</v>
      </c>
      <c r="J31">
        <v>67200.002496512097</v>
      </c>
      <c r="K31">
        <v>20227.200755707701</v>
      </c>
      <c r="L31">
        <v>25505.7609472441</v>
      </c>
      <c r="M31">
        <v>45897.885924687798</v>
      </c>
      <c r="N31">
        <v>1409.83742959549</v>
      </c>
      <c r="O31">
        <v>0</v>
      </c>
      <c r="P31">
        <v>0.75177719391388198</v>
      </c>
      <c r="Q31" s="3" t="s">
        <v>26</v>
      </c>
    </row>
    <row r="32" spans="1:17" hidden="1" x14ac:dyDescent="0.4">
      <c r="A32" t="s">
        <v>21</v>
      </c>
      <c r="B32">
        <v>0</v>
      </c>
      <c r="C32" s="3">
        <f t="shared" si="0"/>
        <v>160240.68755374721</v>
      </c>
      <c r="D32">
        <v>15000</v>
      </c>
      <c r="E32">
        <v>10</v>
      </c>
      <c r="F32">
        <v>372960.01384574</v>
      </c>
      <c r="G32">
        <v>280382.83265103301</v>
      </c>
      <c r="H32">
        <v>27320.699397881199</v>
      </c>
      <c r="I32">
        <v>18577.186526806599</v>
      </c>
      <c r="J32">
        <v>67200.002496512097</v>
      </c>
      <c r="K32">
        <v>20227.200755707701</v>
      </c>
      <c r="L32">
        <v>25505.7609472441</v>
      </c>
      <c r="M32">
        <v>45897.885924687798</v>
      </c>
      <c r="N32">
        <v>1409.83742959549</v>
      </c>
      <c r="O32">
        <v>0</v>
      </c>
      <c r="P32">
        <v>0.75177719391388198</v>
      </c>
      <c r="Q32" s="3" t="s">
        <v>26</v>
      </c>
    </row>
    <row r="33" spans="1:17" hidden="1" x14ac:dyDescent="0.4">
      <c r="A33" t="s">
        <v>21</v>
      </c>
      <c r="B33">
        <v>0</v>
      </c>
      <c r="C33" s="3">
        <f t="shared" si="0"/>
        <v>161854.2162878394</v>
      </c>
      <c r="D33">
        <v>16000</v>
      </c>
      <c r="E33">
        <v>10</v>
      </c>
      <c r="F33">
        <v>376239.56166412297</v>
      </c>
      <c r="G33">
        <v>281996.36138512503</v>
      </c>
      <c r="H33">
        <v>27690.037368097801</v>
      </c>
      <c r="I33">
        <v>18828.324302187499</v>
      </c>
      <c r="J33">
        <v>67790.912013336099</v>
      </c>
      <c r="K33">
        <v>20405.064520267199</v>
      </c>
      <c r="L33">
        <v>25730.040654355202</v>
      </c>
      <c r="M33">
        <v>46518.361670285398</v>
      </c>
      <c r="N33">
        <v>1409.83742959549</v>
      </c>
      <c r="O33">
        <v>0</v>
      </c>
      <c r="P33">
        <v>0.74951278418953005</v>
      </c>
      <c r="Q33" s="3" t="s">
        <v>26</v>
      </c>
    </row>
    <row r="34" spans="1:17" hidden="1" x14ac:dyDescent="0.4">
      <c r="A34" t="s">
        <v>19</v>
      </c>
      <c r="B34">
        <v>0</v>
      </c>
      <c r="C34" s="3">
        <f t="shared" si="0"/>
        <v>102961.15922754805</v>
      </c>
      <c r="D34">
        <v>11000</v>
      </c>
      <c r="E34">
        <v>10</v>
      </c>
      <c r="F34">
        <v>258664.698630136</v>
      </c>
      <c r="G34">
        <v>223080.13596780499</v>
      </c>
      <c r="H34">
        <v>16558.382878249799</v>
      </c>
      <c r="I34">
        <v>6639.1612289695604</v>
      </c>
      <c r="J34">
        <v>46607.913757927803</v>
      </c>
      <c r="K34">
        <v>14032.947813471899</v>
      </c>
      <c r="L34">
        <v>17689.7477623042</v>
      </c>
      <c r="M34">
        <v>23197.544107219401</v>
      </c>
      <c r="N34">
        <v>1433.00578662475</v>
      </c>
      <c r="O34">
        <v>0.16167664670658599</v>
      </c>
      <c r="P34">
        <v>0.86242976776195501</v>
      </c>
      <c r="Q34" s="3" t="s">
        <v>25</v>
      </c>
    </row>
    <row r="35" spans="1:17" hidden="1" x14ac:dyDescent="0.4">
      <c r="A35" t="s">
        <v>19</v>
      </c>
      <c r="B35">
        <v>0</v>
      </c>
      <c r="C35" s="3">
        <f t="shared" si="0"/>
        <v>112554.99851567688</v>
      </c>
      <c r="D35">
        <v>12000</v>
      </c>
      <c r="E35">
        <v>10</v>
      </c>
      <c r="F35">
        <v>282179.67123287602</v>
      </c>
      <c r="H35">
        <v>18242.5461916684</v>
      </c>
      <c r="I35">
        <f>4852+2606</f>
        <v>7458</v>
      </c>
      <c r="J35">
        <v>50843.184005923598</v>
      </c>
      <c r="K35">
        <v>15303.798385783</v>
      </c>
      <c r="L35">
        <v>19297.5304894482</v>
      </c>
      <c r="M35">
        <v>25700.648204926601</v>
      </c>
      <c r="N35">
        <v>1409.83742959549</v>
      </c>
      <c r="O35">
        <v>0</v>
      </c>
      <c r="P35">
        <v>0.82464177024617602</v>
      </c>
      <c r="Q35" s="3" t="s">
        <v>25</v>
      </c>
    </row>
    <row r="36" spans="1:17" hidden="1" x14ac:dyDescent="0.4">
      <c r="A36" t="s">
        <v>19</v>
      </c>
      <c r="B36">
        <v>0</v>
      </c>
      <c r="C36" s="3">
        <f t="shared" si="0"/>
        <v>121344.56621300505</v>
      </c>
      <c r="D36">
        <v>13000</v>
      </c>
      <c r="E36">
        <v>10</v>
      </c>
      <c r="F36">
        <v>305700.960485827</v>
      </c>
      <c r="G36">
        <v>241450.33958299199</v>
      </c>
      <c r="H36">
        <v>18893.080794400601</v>
      </c>
      <c r="I36">
        <v>7655.3649078774997</v>
      </c>
      <c r="J36">
        <v>55282.309265125899</v>
      </c>
      <c r="K36">
        <v>17119.793141132199</v>
      </c>
      <c r="L36">
        <v>20947.808947574202</v>
      </c>
      <c r="M36">
        <v>26548.445702278099</v>
      </c>
      <c r="N36">
        <v>1446.20915689464</v>
      </c>
      <c r="O36">
        <v>0.25149700598802299</v>
      </c>
      <c r="P36">
        <v>0.78982525667983905</v>
      </c>
      <c r="Q36" s="3" t="s">
        <v>25</v>
      </c>
    </row>
    <row r="37" spans="1:17" hidden="1" x14ac:dyDescent="0.4">
      <c r="A37" t="s">
        <v>19</v>
      </c>
      <c r="B37">
        <v>0</v>
      </c>
      <c r="C37" s="3">
        <f t="shared" si="0"/>
        <v>130424.39365381806</v>
      </c>
      <c r="D37">
        <v>14000</v>
      </c>
      <c r="E37">
        <v>10</v>
      </c>
      <c r="F37">
        <v>329240.017626649</v>
      </c>
      <c r="G37">
        <v>250530.167023805</v>
      </c>
      <c r="H37">
        <v>20848.0798472356</v>
      </c>
      <c r="I37">
        <v>8176.7344208997802</v>
      </c>
      <c r="J37">
        <v>59388.995445909903</v>
      </c>
      <c r="K37">
        <v>18034.7176814257</v>
      </c>
      <c r="L37">
        <v>22529.657101452402</v>
      </c>
      <c r="M37">
        <v>29024.8142681354</v>
      </c>
      <c r="N37">
        <v>1446.20915689464</v>
      </c>
      <c r="O37">
        <v>0.25149700598802299</v>
      </c>
      <c r="P37">
        <v>0.76093473943346901</v>
      </c>
      <c r="Q37" s="3" t="s">
        <v>25</v>
      </c>
    </row>
    <row r="38" spans="1:17" hidden="1" x14ac:dyDescent="0.4">
      <c r="A38" t="s">
        <v>19</v>
      </c>
      <c r="B38">
        <v>0</v>
      </c>
      <c r="C38" s="3">
        <f t="shared" si="0"/>
        <v>140645.20979357499</v>
      </c>
      <c r="D38">
        <v>15000</v>
      </c>
      <c r="E38">
        <v>10</v>
      </c>
      <c r="F38">
        <v>352724.58906748501</v>
      </c>
      <c r="G38">
        <v>260787.354890861</v>
      </c>
      <c r="H38">
        <v>22262.8898201671</v>
      </c>
      <c r="I38">
        <v>9101.7415334445996</v>
      </c>
      <c r="J38">
        <v>63827.433131782796</v>
      </c>
      <c r="K38">
        <v>19864.653242648001</v>
      </c>
      <c r="L38">
        <v>24178.654635937</v>
      </c>
      <c r="M38">
        <v>31364.631353611701</v>
      </c>
      <c r="N38">
        <v>1409.83742959549</v>
      </c>
      <c r="O38">
        <v>0</v>
      </c>
      <c r="P38">
        <v>0.73935121897885603</v>
      </c>
      <c r="Q38" s="3" t="s">
        <v>25</v>
      </c>
    </row>
    <row r="39" spans="1:17" hidden="1" x14ac:dyDescent="0.4">
      <c r="A39" t="s">
        <v>19</v>
      </c>
      <c r="B39">
        <v>0</v>
      </c>
      <c r="C39" s="3">
        <f t="shared" si="0"/>
        <v>149838.83143944858</v>
      </c>
      <c r="D39">
        <v>16000</v>
      </c>
      <c r="E39">
        <v>10</v>
      </c>
      <c r="F39">
        <v>376239.56164383498</v>
      </c>
      <c r="G39">
        <v>269980.97653673397</v>
      </c>
      <c r="H39">
        <v>24490.5164898455</v>
      </c>
      <c r="I39">
        <v>10012.4603452017</v>
      </c>
      <c r="J39">
        <v>67790.912007917999</v>
      </c>
      <c r="K39">
        <v>20405.064514286099</v>
      </c>
      <c r="L39">
        <v>25730.040652601801</v>
      </c>
      <c r="M39">
        <v>34502.9768350472</v>
      </c>
      <c r="N39">
        <v>1409.83742959549</v>
      </c>
      <c r="O39">
        <v>0</v>
      </c>
      <c r="P39">
        <v>0.71757732056978696</v>
      </c>
      <c r="Q39" s="3" t="s">
        <v>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Summer Cost Summary</vt:lpstr>
      <vt:lpstr>Winter Cost Summary</vt:lpstr>
      <vt:lpstr>All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Churchill, Jake</dc:creator>
  <cp:lastModifiedBy>Churchill, Jake</cp:lastModifiedBy>
  <dcterms:created xsi:type="dcterms:W3CDTF">2015-06-05T18:17:20Z</dcterms:created>
  <dcterms:modified xsi:type="dcterms:W3CDTF">2026-09-29T19:57:07Z</dcterms:modified>
</cp:coreProperties>
</file>