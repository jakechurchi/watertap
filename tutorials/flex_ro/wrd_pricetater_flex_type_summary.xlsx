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07403044-1417-41C1-8CB4-B55F621EADFA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tc={9CE96C07-E110-41BE-B453-65310D0A2128}</author>
    <author>tc={FC7CAB31-3DEE-4F30-9288-CDF327BE04E1}</author>
  </authors>
  <commentList>
    <comment ref="A15" authorId="0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16" authorId="1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<sst xmlns="http://schemas.openxmlformats.org/spreadsheetml/2006/main" count="72" uniqueCount="31">
  <si>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</si>
  <si>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</si>
  <si>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</si>
  <si>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</si>
  <si>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</si>
  <si>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</si>
  <si>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</si>
  <si>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</si>
  <si>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</si>
  <si>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</si>
  <si>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</si>
  <si>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</si>
  <si>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</si>
  <si>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</si>
  <si>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</si>
  <si>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</si>
  <si>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</si>
  <si>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</si>
  <si>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</si>
  <si>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</si>
  <si>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</si>
  <si>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</si>
  <si>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&gt; have to rerun as LVOF formula was incorrect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</si>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</sst>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" dT="2026-05-27T21:41:37.20" personId="{114E4FE4-B7B1-4FA3-A72A-3A97E9B9C3CF}" id="{9CE96C07-E110-41BE-B453-65310D0A2128}">
    <text>Summer is the summer hot weekdays + high weekends.</text>
  </threadedComment>
  <threadedComment ref="A16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U25"/>
  <sheetViews>
    <sheetView tabSelected="1" workbookViewId="0">
      <selection activeCell="A17" sqref="A17"/>
    </sheetView>
  </sheetViews>
  <sheetFormatPr defaultRowHeight="14.6" x14ac:dyDescent="0.4"/>
  <sheetData>
    <row r="1" spans="1:21" x14ac:dyDescent="0.4">
      <c r="A1" s="1" t="s">
        <v>29</v>
      </c>
    </row>
    <row r="2" spans="1:21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30</v>
      </c>
      <c r="R2" t="s">
        <v>17</v>
      </c>
      <c r="S2" t="s">
        <v>18</v>
      </c>
      <c r="T2" t="s">
        <v>19</v>
      </c>
    </row>
    <row r="3" spans="1:21" x14ac:dyDescent="0.4">
      <c r="A3" t="s">
        <v>20</v>
      </c>
      <c r="B3" t="s">
        <v>21</v>
      </c>
      <c r="C3">
        <v>0</v>
      </c>
      <c r="D3">
        <v>103692.5996</v>
      </c>
      <c r="E3">
        <v>282180.92219999997</v>
      </c>
      <c r="F3">
        <v>0.79822753599999996</v>
      </c>
      <c r="G3">
        <v>17807.339960000001</v>
      </c>
      <c r="H3">
        <v>4786.7821690000001</v>
      </c>
      <c r="I3">
        <v>2570.2005570000001</v>
      </c>
      <c r="J3">
        <v>25164.322690000001</v>
      </c>
      <c r="K3">
        <v>48812.876550000001</v>
      </c>
      <c r="L3">
        <v>9846.8091789999999</v>
      </c>
      <c r="M3">
        <v>18876.280470000002</v>
      </c>
      <c r="N3">
        <v>992.31070790000001</v>
      </c>
      <c r="O3">
        <v>0</v>
      </c>
      <c r="P3">
        <v>225244.5821</v>
      </c>
      <c r="Q3">
        <v>1086.928874</v>
      </c>
      <c r="R3">
        <v>160.26157760000001</v>
      </c>
      <c r="S3">
        <v>6.9678946799999997</v>
      </c>
      <c r="T3">
        <v>466.95526849999999</v>
      </c>
      <c r="U3" t="s">
        <v>22</v>
      </c>
    </row>
    <row r="4" spans="1:21" x14ac:dyDescent="0.4">
      <c r="A4" t="s">
        <v>23</v>
      </c>
      <c r="B4" t="s">
        <v>21</v>
      </c>
      <c r="C4">
        <v>0</v>
      </c>
      <c r="D4">
        <v>112836.8172</v>
      </c>
      <c r="E4">
        <v>282179.67129999999</v>
      </c>
      <c r="F4">
        <v>0.83063673100000002</v>
      </c>
      <c r="G4">
        <v>20374.552169999999</v>
      </c>
      <c r="H4">
        <v>4898.9862890000004</v>
      </c>
      <c r="I4">
        <v>9033.9920129999991</v>
      </c>
      <c r="J4">
        <v>34307.530469999998</v>
      </c>
      <c r="K4">
        <v>48813.007669999999</v>
      </c>
      <c r="L4">
        <v>9847.699482</v>
      </c>
      <c r="M4">
        <v>18876.268899999999</v>
      </c>
      <c r="N4">
        <v>992.31070790000001</v>
      </c>
      <c r="O4">
        <v>0</v>
      </c>
      <c r="P4">
        <v>234388.79980000001</v>
      </c>
      <c r="Q4">
        <v>1094.554862</v>
      </c>
      <c r="R4">
        <v>20.456524869999999</v>
      </c>
      <c r="S4">
        <v>2.5570656089999999</v>
      </c>
      <c r="T4">
        <v>3211.2873840000002</v>
      </c>
    </row>
    <row r="5" spans="1:21" x14ac:dyDescent="0.4">
      <c r="A5" t="s">
        <v>20</v>
      </c>
      <c r="B5" t="s">
        <v>24</v>
      </c>
      <c r="C5">
        <v>0</v>
      </c>
      <c r="D5">
        <v>111442.0141</v>
      </c>
      <c r="E5">
        <v>282179.67119999998</v>
      </c>
      <c r="F5">
        <v>0.82569376999999999</v>
      </c>
      <c r="G5">
        <v>17692.481769999999</v>
      </c>
      <c r="H5">
        <v>4757.593132</v>
      </c>
      <c r="I5">
        <v>2555.1155720000002</v>
      </c>
      <c r="J5">
        <v>25005.190470000001</v>
      </c>
      <c r="K5">
        <v>50843.184009999997</v>
      </c>
      <c r="L5">
        <v>15303.79839</v>
      </c>
      <c r="M5">
        <v>19297.530490000001</v>
      </c>
      <c r="N5">
        <v>992.31070790000001</v>
      </c>
      <c r="O5">
        <v>0</v>
      </c>
      <c r="P5">
        <v>232993.99660000001</v>
      </c>
      <c r="Q5">
        <v>1080.3009549999999</v>
      </c>
      <c r="R5">
        <v>359.38311010000001</v>
      </c>
      <c r="S5">
        <v>10.268088860000001</v>
      </c>
      <c r="T5">
        <v>208.67458189999999</v>
      </c>
    </row>
    <row r="6" spans="1:21" x14ac:dyDescent="0.4">
      <c r="A6" t="s">
        <v>20</v>
      </c>
      <c r="B6" t="s">
        <v>25</v>
      </c>
      <c r="C6">
        <v>0</v>
      </c>
      <c r="D6">
        <v>137194.4558</v>
      </c>
      <c r="E6">
        <v>374196.25630000001</v>
      </c>
      <c r="F6">
        <v>0.69147254700000005</v>
      </c>
      <c r="G6">
        <v>23651.266039999999</v>
      </c>
      <c r="H6">
        <v>6338.5673459999998</v>
      </c>
      <c r="I6">
        <v>3404.7859779999999</v>
      </c>
      <c r="J6">
        <v>33394.619359999997</v>
      </c>
      <c r="K6">
        <v>64727.042860000001</v>
      </c>
      <c r="L6">
        <v>13049.5375</v>
      </c>
      <c r="M6">
        <v>25030.945339999998</v>
      </c>
      <c r="N6">
        <v>992.31070790000001</v>
      </c>
      <c r="O6">
        <v>0</v>
      </c>
      <c r="P6">
        <v>258746.43830000001</v>
      </c>
      <c r="Q6">
        <v>1439.29087</v>
      </c>
      <c r="R6">
        <v>0</v>
      </c>
      <c r="S6">
        <v>0</v>
      </c>
    </row>
    <row r="7" spans="1:21" x14ac:dyDescent="0.4">
      <c r="A7" t="s">
        <v>20</v>
      </c>
      <c r="B7" t="s">
        <v>26</v>
      </c>
      <c r="C7">
        <v>0</v>
      </c>
      <c r="D7">
        <v>111441.1241</v>
      </c>
      <c r="E7">
        <v>282179.67129999999</v>
      </c>
      <c r="F7">
        <v>0.82569061600000004</v>
      </c>
      <c r="G7">
        <v>17691.850109999999</v>
      </c>
      <c r="H7">
        <v>4757.4251000000004</v>
      </c>
      <c r="I7">
        <v>2555.0253269999998</v>
      </c>
      <c r="J7">
        <v>25004.30054</v>
      </c>
      <c r="K7">
        <v>50843.184009999997</v>
      </c>
      <c r="L7">
        <v>15303.79839</v>
      </c>
      <c r="M7">
        <v>19297.530490000001</v>
      </c>
      <c r="N7">
        <v>992.31070790000001</v>
      </c>
      <c r="O7">
        <v>0</v>
      </c>
      <c r="P7">
        <v>232993.1067</v>
      </c>
      <c r="Q7">
        <v>1080.2628</v>
      </c>
      <c r="R7">
        <v>360.71821890000001</v>
      </c>
      <c r="S7">
        <v>10.306234829999999</v>
      </c>
      <c r="T7">
        <v>207.90469189999999</v>
      </c>
    </row>
    <row r="8" spans="1:21" x14ac:dyDescent="0.4">
      <c r="A8" t="s">
        <v>23</v>
      </c>
      <c r="B8" t="s">
        <v>24</v>
      </c>
      <c r="C8">
        <v>0</v>
      </c>
      <c r="D8">
        <v>120218.63830000001</v>
      </c>
      <c r="E8">
        <v>282179.67119999998</v>
      </c>
      <c r="F8">
        <v>0.856796734</v>
      </c>
      <c r="G8">
        <v>20036.014340000002</v>
      </c>
      <c r="H8">
        <v>4832.3564850000002</v>
      </c>
      <c r="I8">
        <v>8913.4439079999993</v>
      </c>
      <c r="J8">
        <v>33781.814729999998</v>
      </c>
      <c r="K8">
        <v>50843.184009999997</v>
      </c>
      <c r="L8">
        <v>15303.79839</v>
      </c>
      <c r="M8">
        <v>19297.530490000001</v>
      </c>
      <c r="N8">
        <v>992.31070790000001</v>
      </c>
      <c r="O8">
        <v>0</v>
      </c>
      <c r="P8">
        <v>241770.6208</v>
      </c>
      <c r="Q8">
        <v>1079.6681140000001</v>
      </c>
      <c r="R8">
        <v>863.44253030000004</v>
      </c>
      <c r="S8">
        <v>9.5938058920000007</v>
      </c>
      <c r="T8">
        <v>76.690102300000007</v>
      </c>
    </row>
    <row r="9" spans="1:21" x14ac:dyDescent="0.4">
      <c r="A9" t="s">
        <v>23</v>
      </c>
      <c r="B9" t="s">
        <v>25</v>
      </c>
      <c r="C9">
        <v>0</v>
      </c>
      <c r="D9">
        <v>148899.34179999999</v>
      </c>
      <c r="E9">
        <v>374122.73599999998</v>
      </c>
      <c r="F9">
        <v>0.72289464999999997</v>
      </c>
      <c r="G9">
        <v>26811.872899999998</v>
      </c>
      <c r="H9">
        <v>6422.7654039999998</v>
      </c>
      <c r="I9">
        <v>11835.53282</v>
      </c>
      <c r="J9">
        <v>45070.171119999999</v>
      </c>
      <c r="K9">
        <v>64727.04277</v>
      </c>
      <c r="L9">
        <v>13081.150960000001</v>
      </c>
      <c r="M9">
        <v>25028.66619</v>
      </c>
      <c r="N9">
        <v>992.31070790000001</v>
      </c>
      <c r="O9">
        <v>0</v>
      </c>
      <c r="P9">
        <v>270451.32429999998</v>
      </c>
      <c r="Q9">
        <v>1435.0048529999999</v>
      </c>
      <c r="R9">
        <v>0</v>
      </c>
      <c r="S9">
        <v>0</v>
      </c>
    </row>
    <row r="10" spans="1:21" x14ac:dyDescent="0.4">
      <c r="A10" t="s">
        <v>23</v>
      </c>
      <c r="B10" t="s">
        <v>26</v>
      </c>
      <c r="C10">
        <v>0</v>
      </c>
      <c r="D10">
        <v>120217.3988</v>
      </c>
      <c r="E10">
        <v>282179.67119999998</v>
      </c>
      <c r="F10">
        <v>0.85679234199999998</v>
      </c>
      <c r="G10">
        <v>20035.275740000001</v>
      </c>
      <c r="H10">
        <v>4832.1803879999998</v>
      </c>
      <c r="I10">
        <v>8913.1190900000001</v>
      </c>
      <c r="J10">
        <v>33780.575219999999</v>
      </c>
      <c r="K10">
        <v>50843.184009999997</v>
      </c>
      <c r="L10">
        <v>15303.79839</v>
      </c>
      <c r="M10">
        <v>19297.530490000001</v>
      </c>
      <c r="N10">
        <v>992.31070790000001</v>
      </c>
      <c r="O10">
        <v>0</v>
      </c>
      <c r="P10">
        <v>241769.38130000001</v>
      </c>
      <c r="Q10">
        <v>1079.6287689999999</v>
      </c>
      <c r="R10">
        <v>866.96784479999997</v>
      </c>
      <c r="S10">
        <v>9.6329760540000002</v>
      </c>
      <c r="T10">
        <v>76.379690299999993</v>
      </c>
    </row>
    <row r="11" spans="1:21" x14ac:dyDescent="0.4">
      <c r="A11" t="s">
        <v>20</v>
      </c>
      <c r="B11" t="s">
        <v>24</v>
      </c>
      <c r="C11">
        <v>2</v>
      </c>
      <c r="D11">
        <v>111441.11810000001</v>
      </c>
      <c r="E11">
        <v>282179.67119999998</v>
      </c>
      <c r="F11">
        <v>0.82569059499999997</v>
      </c>
      <c r="G11">
        <v>17691.84577</v>
      </c>
      <c r="H11">
        <v>4757.4239850000004</v>
      </c>
      <c r="I11">
        <v>2555.0247060000002</v>
      </c>
      <c r="J11">
        <v>25004.294460000001</v>
      </c>
      <c r="K11">
        <v>50843.184009999997</v>
      </c>
      <c r="L11">
        <v>15303.79839</v>
      </c>
      <c r="M11">
        <v>19297.530490000001</v>
      </c>
      <c r="N11">
        <v>992.31070790000001</v>
      </c>
      <c r="O11">
        <v>0</v>
      </c>
      <c r="P11">
        <v>232993.10060000001</v>
      </c>
      <c r="Q11">
        <v>1080.262547</v>
      </c>
      <c r="R11">
        <v>2069.5658520000002</v>
      </c>
      <c r="S11">
        <v>12.542823350000001</v>
      </c>
      <c r="T11">
        <v>4.9104200000000002E-4</v>
      </c>
    </row>
    <row r="12" spans="1:21" x14ac:dyDescent="0.4">
      <c r="A12" t="s">
        <v>23</v>
      </c>
      <c r="B12" t="s">
        <v>24</v>
      </c>
      <c r="C12">
        <v>2</v>
      </c>
      <c r="D12">
        <v>118535.91039999999</v>
      </c>
      <c r="E12">
        <v>282179.67119999998</v>
      </c>
      <c r="F12">
        <v>0.85083341400000001</v>
      </c>
      <c r="G12">
        <v>19552.055189999999</v>
      </c>
      <c r="H12">
        <v>6487.5388240000002</v>
      </c>
      <c r="I12">
        <v>6025.9340460000003</v>
      </c>
      <c r="J12">
        <v>32065.528060000001</v>
      </c>
      <c r="K12">
        <v>50847.613210000003</v>
      </c>
      <c r="L12">
        <v>15315.701870000001</v>
      </c>
      <c r="M12">
        <v>19298.449550000001</v>
      </c>
      <c r="N12">
        <v>1008.617701</v>
      </c>
      <c r="O12">
        <v>0</v>
      </c>
      <c r="P12">
        <v>240087.89290000001</v>
      </c>
      <c r="Q12">
        <v>1449.4768389999999</v>
      </c>
      <c r="R12">
        <v>27623.63321</v>
      </c>
      <c r="S12">
        <v>317.5130254</v>
      </c>
      <c r="T12">
        <v>0.68036269900000002</v>
      </c>
    </row>
    <row r="14" spans="1:21" x14ac:dyDescent="0.4">
      <c r="A14" s="1" t="s">
        <v>28</v>
      </c>
    </row>
    <row r="15" spans="1:21" x14ac:dyDescent="0.4">
      <c r="A15" t="s">
        <v>23</v>
      </c>
      <c r="B15" t="s">
        <v>24</v>
      </c>
      <c r="C15">
        <v>0</v>
      </c>
      <c r="D15">
        <v>177048.079214225</v>
      </c>
      <c r="E15">
        <v>282179.697150969</v>
      </c>
      <c r="F15">
        <v>1.0581911624256699</v>
      </c>
      <c r="G15">
        <v>79845.342667291203</v>
      </c>
      <c r="H15">
        <v>6222.1442638440503</v>
      </c>
      <c r="I15">
        <v>4534.7814140862702</v>
      </c>
      <c r="J15">
        <f>SUM(G15:I15)</f>
        <v>90602.268345221528</v>
      </c>
      <c r="K15">
        <v>50847.265569999399</v>
      </c>
      <c r="L15">
        <v>15307.856370494001</v>
      </c>
      <c r="M15">
        <v>19298.378220313502</v>
      </c>
      <c r="N15">
        <v>992.31070819735999</v>
      </c>
      <c r="O15">
        <v>0</v>
      </c>
      <c r="P15">
        <v>298600.06174110703</v>
      </c>
      <c r="Q15">
        <v>987.15586819601197</v>
      </c>
      <c r="R15">
        <v>15618.4724861042</v>
      </c>
      <c r="S15">
        <v>92.967098131572797</v>
      </c>
      <c r="T15">
        <v>-2.5456367562447402</v>
      </c>
    </row>
    <row r="16" spans="1:21" x14ac:dyDescent="0.4">
      <c r="A16" t="s">
        <v>20</v>
      </c>
      <c r="B16" t="s">
        <v>24</v>
      </c>
      <c r="C16">
        <v>0</v>
      </c>
      <c r="D16">
        <v>114550.946983783</v>
      </c>
      <c r="E16">
        <v>282179.671291181</v>
      </c>
      <c r="F16">
        <v>0.83671133512318097</v>
      </c>
      <c r="G16">
        <v>21079.803315233199</v>
      </c>
      <c r="H16">
        <v>6217.0342487801199</v>
      </c>
      <c r="I16">
        <v>817.27332915015802</v>
      </c>
      <c r="J16">
        <f>SUM(G16:I16)</f>
        <v>28114.110893163477</v>
      </c>
      <c r="K16">
        <v>50843.189627163199</v>
      </c>
      <c r="L16">
        <v>15303.8040979052</v>
      </c>
      <c r="M16">
        <v>19297.531657665499</v>
      </c>
      <c r="N16">
        <v>992.31070788561601</v>
      </c>
      <c r="O16">
        <v>0</v>
      </c>
      <c r="P16">
        <v>236102.92951066399</v>
      </c>
      <c r="Q16">
        <v>986.72714338313494</v>
      </c>
      <c r="R16">
        <v>15669.8633517084</v>
      </c>
      <c r="S16">
        <v>93.272996141121894</v>
      </c>
      <c r="T16">
        <v>-0.19839357341549399</v>
      </c>
    </row>
    <row r="22" spans="1:20" x14ac:dyDescent="0.4">
      <c r="A22" s="1" t="s">
        <v>27</v>
      </c>
    </row>
    <row r="23" spans="1:20" x14ac:dyDescent="0.4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6</v>
      </c>
      <c r="H23" t="s">
        <v>7</v>
      </c>
      <c r="I23" t="s">
        <v>8</v>
      </c>
      <c r="J23" t="s">
        <v>9</v>
      </c>
      <c r="K23" t="s">
        <v>10</v>
      </c>
      <c r="L23" t="s">
        <v>11</v>
      </c>
      <c r="M23" t="s">
        <v>12</v>
      </c>
      <c r="N23" t="s">
        <v>13</v>
      </c>
      <c r="O23" t="s">
        <v>14</v>
      </c>
      <c r="P23" t="s">
        <v>15</v>
      </c>
      <c r="Q23" t="s">
        <v>16</v>
      </c>
      <c r="R23" t="s">
        <v>17</v>
      </c>
      <c r="S23" t="s">
        <v>18</v>
      </c>
      <c r="T23" t="s">
        <v>19</v>
      </c>
    </row>
    <row r="24" spans="1:20" x14ac:dyDescent="0.4">
      <c r="A24" t="s">
        <v>20</v>
      </c>
      <c r="B24" t="s">
        <v>21</v>
      </c>
      <c r="C24">
        <v>4</v>
      </c>
      <c r="D24">
        <v>29525.427309999999</v>
      </c>
      <c r="E24">
        <v>80391.755990000005</v>
      </c>
      <c r="F24">
        <v>0.79280104200000001</v>
      </c>
      <c r="G24">
        <v>5050.6365619999997</v>
      </c>
      <c r="H24">
        <v>4678.3390820000004</v>
      </c>
      <c r="I24">
        <v>2508.6600360000002</v>
      </c>
      <c r="J24">
        <v>12237.635679999999</v>
      </c>
      <c r="K24">
        <v>13920</v>
      </c>
      <c r="L24">
        <v>2841.544922</v>
      </c>
      <c r="M24">
        <v>5380.5444360000001</v>
      </c>
      <c r="N24">
        <v>279.27307350000001</v>
      </c>
      <c r="O24">
        <v>0</v>
      </c>
      <c r="P24">
        <v>63734.6679</v>
      </c>
      <c r="Q24">
        <v>1078.4492829999999</v>
      </c>
      <c r="R24">
        <v>624.70352849999995</v>
      </c>
      <c r="S24">
        <v>13.014656840000001</v>
      </c>
      <c r="T24">
        <v>27.514184579999998</v>
      </c>
    </row>
    <row r="25" spans="1:20" x14ac:dyDescent="0.4">
      <c r="A25" t="s">
        <v>23</v>
      </c>
      <c r="B25" t="s">
        <v>21</v>
      </c>
      <c r="C25">
        <v>4</v>
      </c>
      <c r="D25">
        <v>30655.78772</v>
      </c>
      <c r="E25">
        <v>79415.835619999998</v>
      </c>
      <c r="F25">
        <v>0.81677700399999997</v>
      </c>
      <c r="G25">
        <v>5129.9926729999997</v>
      </c>
      <c r="H25">
        <v>5254.1641179999997</v>
      </c>
      <c r="I25">
        <v>4834.2260249999999</v>
      </c>
      <c r="J25">
        <v>15218.382820000001</v>
      </c>
      <c r="K25">
        <v>13875.1543</v>
      </c>
      <c r="L25">
        <v>3140.6678670000001</v>
      </c>
      <c r="M25">
        <v>5340.9854210000003</v>
      </c>
      <c r="N25">
        <v>286.5902719</v>
      </c>
      <c r="O25">
        <v>0</v>
      </c>
      <c r="P25">
        <v>64865.028310000002</v>
      </c>
      <c r="Q25">
        <v>1191.7509680000001</v>
      </c>
      <c r="R25">
        <v>7243.7162129999997</v>
      </c>
      <c r="S25">
        <v>452.7322633</v>
      </c>
      <c r="T25">
        <v>5.8154128590000003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2026-05-27T22:31:40Z</dcterms:modified>
</cp:coreProperties>
</file>