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4F689B85-74EF-4482-8A79-E9A59BAFD73B}" xr6:coauthVersionLast="47" xr6:coauthVersionMax="47" xr10:uidLastSave="{00000000-0000-0000-0000-000000000000}"/>
  <bookViews>
    <workbookView xWindow="-90" yWindow="0" windowWidth="9780" windowHeight="1017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tc={ABAC2AC6-7A74-4F44-BF4E-754717C772A0}</author>
    <author>tc={9CE96C07-E110-41BE-B453-65310D0A2128}</author>
    <author>tc={FC7CAB31-3DEE-4F30-9288-CDF327BE04E1}</author>
  </authors>
  <commentList>
    <comment ref="A24" authorId="0" shapeId="0" xr:uid="{ABAC2AC6-7A74-4F44-BF4E-754717C7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 to re-run with fixed uf recovery and the 2nd order surrogate</t>
      </text>
    </comment>
    <comment ref="A28" authorId="1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9" authorId="2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<sst xmlns="http://schemas.openxmlformats.org/spreadsheetml/2006/main" count="87" uniqueCount="30">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</sst>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4" dT="2026-05-28T22:11:07.28" personId="{114E4FE4-B7B1-4FA3-A72A-3A97E9B9C3CF}" id="{ABAC2AC6-7A74-4F44-BF4E-754717C772A0}">
    <text>Have to re-run with fixed uf recovery and the 2nd order surrogate</text>
  </threadedComment>
  <threadedComment ref="A28" dT="2026-05-27T21:41:37.20" personId="{114E4FE4-B7B1-4FA3-A72A-3A97E9B9C3CF}" id="{9CE96C07-E110-41BE-B453-65310D0A2128}">
    <text>Summer is the summer hot weekdays + high weekends.</text>
  </threadedComment>
  <threadedComment ref="A29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T37"/>
  <sheetViews>
    <sheetView tabSelected="1" topLeftCell="A6" workbookViewId="0">
      <selection activeCell="E16" sqref="E16"/>
    </sheetView>
  </sheetViews>
  <sheetFormatPr defaultRowHeight="14.6" x14ac:dyDescent="0.4"/>
  <cols>
    <col min="3" max="3" width="12.4609375" customWidth="1"/>
    <col min="5" max="5" width="10.3046875" customWidth="1"/>
    <col min="6" max="6" width="11.84375" bestFit="1" customWidth="1"/>
    <col min="7" max="7" width="10.53515625" customWidth="1"/>
    <col min="9" max="9" width="9.07421875" customWidth="1"/>
    <col min="20" max="20" width="7.84375" customWidth="1"/>
  </cols>
  <sheetData>
    <row r="1" spans="1:20" x14ac:dyDescent="0.4">
      <c r="A1" s="1" t="s">
        <v>28</v>
      </c>
    </row>
    <row r="2" spans="1:20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4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4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4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4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4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4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4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4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4">
      <c r="A15" t="s">
        <v>20</v>
      </c>
      <c r="B15" t="s">
        <v>23</v>
      </c>
      <c r="C15">
        <v>1</v>
      </c>
    </row>
    <row r="16" spans="1:20" x14ac:dyDescent="0.4">
      <c r="A16" t="s">
        <v>22</v>
      </c>
      <c r="B16" t="s">
        <v>23</v>
      </c>
      <c r="C16">
        <v>1</v>
      </c>
    </row>
    <row r="18" spans="1:20" x14ac:dyDescent="0.4">
      <c r="A18" t="s">
        <v>20</v>
      </c>
      <c r="B18" t="s">
        <v>23</v>
      </c>
      <c r="C18">
        <v>2</v>
      </c>
      <c r="D18">
        <v>111737.917851103</v>
      </c>
      <c r="E18">
        <v>282179.67125484499</v>
      </c>
      <c r="F18">
        <v>0.826742406143402</v>
      </c>
      <c r="G18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v>233289.900377985</v>
      </c>
      <c r="Q18">
        <v>1127.0837800240299</v>
      </c>
      <c r="R18">
        <v>0</v>
      </c>
    </row>
    <row r="19" spans="1:20" x14ac:dyDescent="0.4">
      <c r="A19" t="s">
        <v>22</v>
      </c>
      <c r="B19" t="s">
        <v>23</v>
      </c>
      <c r="C19">
        <v>2</v>
      </c>
    </row>
    <row r="21" spans="1:20" x14ac:dyDescent="0.4">
      <c r="A21" t="s">
        <v>20</v>
      </c>
      <c r="B21" t="s">
        <v>21</v>
      </c>
      <c r="C21">
        <v>2</v>
      </c>
      <c r="D21">
        <v>111737.92287843001</v>
      </c>
      <c r="E21">
        <v>282179.67125484499</v>
      </c>
      <c r="F21">
        <v>0.82674242395945297</v>
      </c>
      <c r="G21">
        <v>18663.290416404601</v>
      </c>
      <c r="H21">
        <v>4963.6225077490999</v>
      </c>
      <c r="I21">
        <v>2666.4924108713899</v>
      </c>
      <c r="J21">
        <v>26293.405335025102</v>
      </c>
      <c r="K21">
        <v>50843.185205157402</v>
      </c>
      <c r="L21">
        <v>15303.8015992776</v>
      </c>
      <c r="M21">
        <v>19297.530738970301</v>
      </c>
      <c r="N21">
        <v>992.31070788530405</v>
      </c>
      <c r="O21">
        <v>0</v>
      </c>
      <c r="P21">
        <v>233289.90540531199</v>
      </c>
      <c r="Q21">
        <v>1127.08379747136</v>
      </c>
      <c r="R21">
        <v>0</v>
      </c>
    </row>
    <row r="22" spans="1:20" x14ac:dyDescent="0.4">
      <c r="A22" t="s">
        <v>22</v>
      </c>
      <c r="B22" t="s">
        <v>21</v>
      </c>
      <c r="C22">
        <v>2</v>
      </c>
    </row>
    <row r="24" spans="1:20" x14ac:dyDescent="0.4">
      <c r="A24" s="2" t="s">
        <v>20</v>
      </c>
      <c r="B24" t="s">
        <v>21</v>
      </c>
      <c r="C24">
        <v>4</v>
      </c>
      <c r="D24">
        <v>103263.067623782</v>
      </c>
      <c r="E24">
        <v>282179.67123287701</v>
      </c>
      <c r="F24">
        <v>0.79670888114802996</v>
      </c>
      <c r="G24">
        <v>18270.343045682599</v>
      </c>
      <c r="H24">
        <v>4859.1187222275803</v>
      </c>
      <c r="I24">
        <v>2610.3522592715499</v>
      </c>
      <c r="J24">
        <v>25739.814027181699</v>
      </c>
      <c r="K24">
        <v>48809.484574716203</v>
      </c>
      <c r="L24">
        <v>9838.23116441202</v>
      </c>
      <c r="M24">
        <v>18875.537857472798</v>
      </c>
      <c r="N24">
        <v>992.31070788530405</v>
      </c>
      <c r="O24">
        <v>0</v>
      </c>
      <c r="P24">
        <v>224815.050150664</v>
      </c>
      <c r="Q24">
        <v>1103.3542485400801</v>
      </c>
      <c r="R24">
        <v>0</v>
      </c>
      <c r="S24">
        <v>0</v>
      </c>
      <c r="T24">
        <v>0</v>
      </c>
    </row>
    <row r="25" spans="1:20" x14ac:dyDescent="0.4">
      <c r="A25" s="2" t="s">
        <v>22</v>
      </c>
      <c r="B25" t="s">
        <v>21</v>
      </c>
      <c r="C25">
        <v>4</v>
      </c>
      <c r="D25">
        <v>108527.711286153</v>
      </c>
      <c r="E25">
        <v>282179.67123319401</v>
      </c>
      <c r="F25">
        <v>0.81536594329254797</v>
      </c>
      <c r="G25">
        <v>19470.284119269101</v>
      </c>
      <c r="H25">
        <v>5251.7861497213999</v>
      </c>
      <c r="I25">
        <v>4921.3210739687102</v>
      </c>
      <c r="J25">
        <v>29643.391342959199</v>
      </c>
      <c r="K25">
        <v>49158.923944860697</v>
      </c>
      <c r="L25">
        <v>10777.3494715455</v>
      </c>
      <c r="M25">
        <v>18948.046526787599</v>
      </c>
      <c r="N25">
        <v>1008.6177006503</v>
      </c>
      <c r="O25">
        <v>0</v>
      </c>
      <c r="P25">
        <v>230079.69381303401</v>
      </c>
      <c r="Q25">
        <v>1173.3790798621201</v>
      </c>
      <c r="R25">
        <v>12990.682952859001</v>
      </c>
      <c r="S25">
        <v>463.95296260210699</v>
      </c>
      <c r="T25">
        <v>1.63318791126541</v>
      </c>
    </row>
    <row r="27" spans="1:20" x14ac:dyDescent="0.4">
      <c r="A27" s="1" t="s">
        <v>27</v>
      </c>
    </row>
    <row r="28" spans="1:20" x14ac:dyDescent="0.4">
      <c r="A28" t="s">
        <v>22</v>
      </c>
      <c r="B28" t="s">
        <v>23</v>
      </c>
      <c r="C28">
        <v>0</v>
      </c>
    </row>
    <row r="29" spans="1:20" x14ac:dyDescent="0.4">
      <c r="A29" t="s">
        <v>20</v>
      </c>
      <c r="B29" t="s">
        <v>23</v>
      </c>
      <c r="C29">
        <v>0</v>
      </c>
    </row>
    <row r="30" spans="1:20" x14ac:dyDescent="0.4">
      <c r="A30" s="2" t="s">
        <v>20</v>
      </c>
      <c r="B30" t="s">
        <v>21</v>
      </c>
      <c r="C30">
        <v>4</v>
      </c>
      <c r="D30">
        <v>108960.613539453</v>
      </c>
      <c r="E30">
        <v>282179.67123287701</v>
      </c>
      <c r="F30">
        <v>0.81690008021909599</v>
      </c>
      <c r="G30">
        <v>23571.632136721099</v>
      </c>
      <c r="H30">
        <v>6951.9409028971204</v>
      </c>
      <c r="I30">
        <v>913.88179307768496</v>
      </c>
      <c r="J30">
        <f>SUM(G30:I30)</f>
        <v>31437.454832695905</v>
      </c>
      <c r="K30">
        <v>48809.460212750702</v>
      </c>
      <c r="L30">
        <v>9838.1656916422507</v>
      </c>
      <c r="M30">
        <v>18875.532802364902</v>
      </c>
      <c r="N30">
        <v>992.31070788530405</v>
      </c>
      <c r="O30">
        <v>0</v>
      </c>
      <c r="P30">
        <v>230512.59606633501</v>
      </c>
      <c r="Q30">
        <v>1103.3673370121001</v>
      </c>
      <c r="R30">
        <v>0</v>
      </c>
      <c r="S30">
        <v>0</v>
      </c>
      <c r="T30">
        <v>0</v>
      </c>
    </row>
    <row r="31" spans="1:20" x14ac:dyDescent="0.4">
      <c r="A31" s="2" t="s">
        <v>22</v>
      </c>
      <c r="B31" t="s">
        <v>21</v>
      </c>
      <c r="C31">
        <v>4</v>
      </c>
      <c r="D31">
        <v>113598.307758221</v>
      </c>
      <c r="E31">
        <v>282179.67123287398</v>
      </c>
      <c r="F31">
        <v>0.83333533297315499</v>
      </c>
      <c r="G31">
        <v>21005.263452339499</v>
      </c>
      <c r="H31">
        <v>9419.1929847336105</v>
      </c>
      <c r="I31">
        <v>0</v>
      </c>
      <c r="J31">
        <f>SUM(G31:I31)</f>
        <v>30424.45643707311</v>
      </c>
      <c r="K31">
        <v>48819.627456497903</v>
      </c>
      <c r="L31">
        <v>14784.690159207899</v>
      </c>
      <c r="M31">
        <v>19569.533705442402</v>
      </c>
      <c r="N31">
        <v>1040.9289460857101</v>
      </c>
      <c r="O31">
        <v>0</v>
      </c>
      <c r="P31">
        <v>235150.29028510299</v>
      </c>
      <c r="Q31">
        <v>1494.95371016114</v>
      </c>
      <c r="R31">
        <v>40078.803663142098</v>
      </c>
      <c r="S31">
        <v>910.88190143504903</v>
      </c>
      <c r="T31">
        <v>0.51068072492979899</v>
      </c>
    </row>
    <row r="34" spans="1:20" hidden="1" x14ac:dyDescent="0.4">
      <c r="A34" s="1" t="s">
        <v>26</v>
      </c>
    </row>
    <row r="35" spans="1:20" hidden="1" x14ac:dyDescent="0.4">
      <c r="A35" t="s">
        <v>0</v>
      </c>
      <c r="B35" t="s">
        <v>1</v>
      </c>
      <c r="C35" t="s">
        <v>2</v>
      </c>
      <c r="D35" t="s">
        <v>3</v>
      </c>
      <c r="E35" t="s">
        <v>4</v>
      </c>
      <c r="F35" t="s">
        <v>5</v>
      </c>
      <c r="G35" t="s">
        <v>6</v>
      </c>
      <c r="H35" t="s">
        <v>7</v>
      </c>
      <c r="I35" t="s">
        <v>8</v>
      </c>
      <c r="J35" t="s">
        <v>9</v>
      </c>
      <c r="K35" t="s">
        <v>10</v>
      </c>
      <c r="L35" t="s">
        <v>11</v>
      </c>
      <c r="M35" t="s">
        <v>12</v>
      </c>
      <c r="N35" t="s">
        <v>13</v>
      </c>
      <c r="O35" t="s">
        <v>14</v>
      </c>
      <c r="P35" t="s">
        <v>15</v>
      </c>
      <c r="Q35" t="s">
        <v>16</v>
      </c>
      <c r="R35" t="s">
        <v>17</v>
      </c>
      <c r="S35" t="s">
        <v>18</v>
      </c>
      <c r="T35" t="s">
        <v>19</v>
      </c>
    </row>
    <row r="36" spans="1:20" hidden="1" x14ac:dyDescent="0.4">
      <c r="A36" s="2" t="s">
        <v>20</v>
      </c>
      <c r="B36" t="s">
        <v>21</v>
      </c>
      <c r="C36">
        <v>4</v>
      </c>
      <c r="D36">
        <v>29525.427309999999</v>
      </c>
      <c r="E36">
        <v>80391.755990000005</v>
      </c>
      <c r="F36">
        <v>0.79280104200000001</v>
      </c>
      <c r="G36">
        <v>5050.6365619999997</v>
      </c>
      <c r="H36">
        <v>4678.3390820000004</v>
      </c>
      <c r="I36">
        <v>2508.6600360000002</v>
      </c>
      <c r="J36">
        <v>12237.635679999999</v>
      </c>
      <c r="K36">
        <v>13920</v>
      </c>
      <c r="L36">
        <v>2841.544922</v>
      </c>
      <c r="M36">
        <v>5380.5444360000001</v>
      </c>
      <c r="N36">
        <v>279.27307350000001</v>
      </c>
      <c r="O36">
        <v>0</v>
      </c>
      <c r="P36">
        <v>63734.6679</v>
      </c>
      <c r="Q36">
        <v>1078.4492829999999</v>
      </c>
      <c r="R36">
        <v>624.70352849999995</v>
      </c>
      <c r="S36">
        <v>13.014656840000001</v>
      </c>
      <c r="T36">
        <v>27.514184579999998</v>
      </c>
    </row>
    <row r="37" spans="1:20" hidden="1" x14ac:dyDescent="0.4">
      <c r="A37" s="2" t="s">
        <v>22</v>
      </c>
      <c r="B37" t="s">
        <v>21</v>
      </c>
      <c r="C37">
        <v>4</v>
      </c>
      <c r="D37">
        <v>30655.78772</v>
      </c>
      <c r="E37">
        <v>79415.835619999998</v>
      </c>
      <c r="F37">
        <v>0.81677700399999997</v>
      </c>
      <c r="G37">
        <v>5129.9926729999997</v>
      </c>
      <c r="H37">
        <v>5254.1641179999997</v>
      </c>
      <c r="I37">
        <v>4834.2260249999999</v>
      </c>
      <c r="J37">
        <v>15218.382820000001</v>
      </c>
      <c r="K37">
        <v>13875.1543</v>
      </c>
      <c r="L37">
        <v>3140.6678670000001</v>
      </c>
      <c r="M37">
        <v>5340.9854210000003</v>
      </c>
      <c r="N37">
        <v>286.5902719</v>
      </c>
      <c r="O37">
        <v>0</v>
      </c>
      <c r="P37">
        <v>64865.028310000002</v>
      </c>
      <c r="Q37">
        <v>1191.7509680000001</v>
      </c>
      <c r="R37">
        <v>7243.7162129999997</v>
      </c>
      <c r="S37">
        <v>452.7322633</v>
      </c>
      <c r="T37">
        <v>5.8154128590000003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2026-05-29T16:34:45Z</dcterms:modified>
</cp:coreProperties>
</file>