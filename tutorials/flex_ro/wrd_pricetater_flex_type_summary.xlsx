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hurchi\watertap\tutorials\flex_ro\"/>
    </mc:Choice>
  </mc:AlternateContent>
  <xr:revisionPtr revIDLastSave="0" documentId="13_ncr:1_{52A3E3C7-C3D9-4112-85AA-AACC7D8922DE}" xr6:coauthVersionLast="47" xr6:coauthVersionMax="47" xr10:uidLastSave="{00000000-0000-0000-0000-000000000000}"/>
  <bookViews>
    <workbookView xWindow="68505" yWindow="8550" windowWidth="18000" windowHeight="15585" xr2:uid="{C549BF93-41CE-4809-A3B1-A16DB1FF836F}"/>
  </bookViews>
  <sheets>
    <sheet name="wrd_pricetater_flex_type_summ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J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tc={059B2785-9A39-4C22-958C-B8BAB93BD95A}</author>
    <author>tc={ABAC2AC6-7A74-4F44-BF4E-754717C772A0}</author>
    <author>tc={9CE96C07-E110-41BE-B453-65310D0A2128}</author>
    <author>tc={FC7CAB31-3DEE-4F30-9288-CDF327BE04E1}</author>
    <author>tc={44AB14B7-66C1-445B-8271-3F9869928B60}</author>
  </authors>
  <commentList>
    <comment ref="A19" authorId="0" shapeId="0" xr:uid="{059B2785-9A39-4C22-958C-B8BAB93BD95A}">
      <text>
        <t>[Threaded comment]
Your version of Excel allows you to read this threaded comment; however, any edits to it will get removed if the file is opened in a newer version of Excel. Learn more: https://go.microsoft.com/fwlink/?linkid=870924
Comment:
    Flex_type = rr has same solution</t>
      </text>
    </comment>
    <comment ref="A24" authorId="1" shapeId="0" xr:uid="{ABAC2AC6-7A74-4F44-BF4E-754717C772A0}">
      <text>
        <t>[Threaded comment]
Your version of Excel allows you to read this threaded comment; however, any edits to it will get removed if the file is opened in a newer version of Excel. Learn more: https://go.microsoft.com/fwlink/?linkid=870924
Comment:
    Have to re-run with fixed uf recovery and the 2nd order surrogate</t>
      </text>
    </comment>
    <comment ref="A28" authorId="2" shapeId="0" xr:uid="{9CE96C07-E110-41BE-B453-65310D0A2128}">
      <text>
        <t>[Threaded comment]
Your version of Excel allows you to read this threaded comment; however, any edits to it will get removed if the file is opened in a newer version of Excel. Learn more: https://go.microsoft.com/fwlink/?linkid=870924
Comment:
    Summer is the summer hot weekdays + high weekends.</t>
      </text>
    </comment>
    <comment ref="A29" authorId="3" shapeId="0" xr:uid="{FC7CAB31-3DEE-4F30-9288-CDF327BE04E1}">
      <text>
        <t>[Threaded comment]
Your version of Excel allows you to read this threaded comment; however, any edits to it will get removed if the file is opened in a newer version of Excel. Learn more: https://go.microsoft.com/fwlink/?linkid=870924
Comment:
    Winter is low winter weekdays + low weekends</t>
      </text>
    </comment>
    <comment ref="T30" authorId="4" shapeId="0" xr:uid="{44AB14B7-66C1-445B-8271-3F9869928B6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whole baseline for this might be corrupted</t>
      </text>
    </comment>
  </commentList>
</comments>
</file>

<file path=xl/sharedStrings.xml><?xml version="1.0" encoding="utf-8"?>
<sst xmlns="http://schemas.openxmlformats.org/spreadsheetml/2006/main" count="90" uniqueCount="31">
  <si>
    <t>Season</t>
  </si>
  <si>
    <t>Flexibility Type</t>
  </si>
  <si>
    <t>Num Flexible Trains</t>
  </si>
  <si>
    <t>Total Operational Cost</t>
  </si>
  <si>
    <t>Total Water Production (m3)</t>
  </si>
  <si>
    <t>LCOW ($/m3)</t>
  </si>
  <si>
    <t>Total Energy Cost</t>
  </si>
  <si>
    <t>Fixed Demand Cost</t>
  </si>
  <si>
    <t>Variable Demand Cost</t>
  </si>
  <si>
    <t>Total Elec. Cost</t>
  </si>
  <si>
    <t>Total Feed Cost</t>
  </si>
  <si>
    <t>Total Brine Cost</t>
  </si>
  <si>
    <t>Total Chemical Cost</t>
  </si>
  <si>
    <t>Total Replacement Cost</t>
  </si>
  <si>
    <t>Total Demand Response Revenue</t>
  </si>
  <si>
    <t>Total Cost</t>
  </si>
  <si>
    <t>MMaximum Power</t>
  </si>
  <si>
    <t>Energy Capacity</t>
  </si>
  <si>
    <t>Power Capacity</t>
  </si>
  <si>
    <t>LVOF</t>
  </si>
  <si>
    <t>winter</t>
  </si>
  <si>
    <t>both</t>
  </si>
  <si>
    <t>summer</t>
  </si>
  <si>
    <t>no_flex</t>
  </si>
  <si>
    <t>rr</t>
  </si>
  <si>
    <t>flow</t>
  </si>
  <si>
    <t>TIME PERIOD = 2 DAYS</t>
  </si>
  <si>
    <t>RTP RATE</t>
  </si>
  <si>
    <t>TIME PERIOD = 1 WEEK, Rate = TOU 3</t>
  </si>
  <si>
    <t>Maximum Power</t>
  </si>
  <si>
    <t>New, not sure feed and flow are different…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</si>
</sst>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urchill, Jake" id="{114E4FE4-B7B1-4FA3-A72A-3A97E9B9C3CF}" userId="S::rchurchi@nrel.gov::24b6a320-1211-4379-9513-990e66715a0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" dT="2026-05-29T21:01:16.53" personId="{114E4FE4-B7B1-4FA3-A72A-3A97E9B9C3CF}" id="{059B2785-9A39-4C22-958C-B8BAB93BD95A}">
    <text>Flex_type = rr has same solution</text>
  </threadedComment>
  <threadedComment ref="A24" dT="2026-05-28T22:11:07.28" personId="{114E4FE4-B7B1-4FA3-A72A-3A97E9B9C3CF}" id="{ABAC2AC6-7A74-4F44-BF4E-754717C772A0}">
    <text>Have to re-run with fixed uf recovery and the 2nd order surrogate</text>
  </threadedComment>
  <threadedComment ref="A28" dT="2026-05-27T21:41:37.20" personId="{114E4FE4-B7B1-4FA3-A72A-3A97E9B9C3CF}" id="{9CE96C07-E110-41BE-B453-65310D0A2128}">
    <text>Summer is the summer hot weekdays + high weekends.</text>
  </threadedComment>
  <threadedComment ref="A29" dT="2026-05-27T21:42:09.38" personId="{114E4FE4-B7B1-4FA3-A72A-3A97E9B9C3CF}" id="{FC7CAB31-3DEE-4F30-9288-CDF327BE04E1}">
    <text>Winter is low winter weekdays + low weekends</text>
  </threadedComment>
  <threadedComment ref="T30" dT="2026-06-01T20:16:04.04" personId="{114E4FE4-B7B1-4FA3-A72A-3A97E9B9C3CF}" id="{44AB14B7-66C1-445B-8271-3F9869928B60}">
    <text>The whole baseline for this might be corrupted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11F3-C438-4D9E-9154-F58427CB6366}">
  <dimension ref="A1:W42"/>
  <sheetViews>
    <sheetView tabSelected="1" workbookViewId="0">
      <selection activeCell="E44" sqref="E44"/>
    </sheetView>
  </sheetViews>
  <sheetFormatPr defaultRowHeight="14.6" x14ac:dyDescent="0.4"/>
  <cols>
    <col min="3" max="3" width="12.4609375" customWidth="1"/>
    <col min="5" max="5" width="10.23046875" customWidth="1"/>
    <col min="6" max="6" width="11.84375" bestFit="1" customWidth="1"/>
    <col min="7" max="7" width="15.23046875" bestFit="1" customWidth="1"/>
    <col min="9" max="9" width="9.07421875" customWidth="1"/>
    <col min="20" max="20" width="7.84375" customWidth="1"/>
  </cols>
  <sheetData>
    <row r="1" spans="1:20" x14ac:dyDescent="0.4">
      <c r="A1" s="1" t="s">
        <v>28</v>
      </c>
    </row>
    <row r="2" spans="1:20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29</v>
      </c>
      <c r="R2" t="s">
        <v>17</v>
      </c>
      <c r="S2" t="s">
        <v>18</v>
      </c>
      <c r="T2" t="s">
        <v>19</v>
      </c>
    </row>
    <row r="3" spans="1:20" x14ac:dyDescent="0.4">
      <c r="A3" t="s">
        <v>20</v>
      </c>
      <c r="B3" t="s">
        <v>23</v>
      </c>
      <c r="C3">
        <v>0</v>
      </c>
      <c r="D3">
        <v>111737.917851103</v>
      </c>
      <c r="E3">
        <v>282179.67125484499</v>
      </c>
      <c r="F3">
        <v>0.826742406143402</v>
      </c>
      <c r="G3">
        <v>18663.290146715601</v>
      </c>
      <c r="H3">
        <v>4963.6224309139197</v>
      </c>
      <c r="I3">
        <v>2666.4923762402</v>
      </c>
      <c r="J3">
        <v>26293.4049538697</v>
      </c>
      <c r="K3">
        <v>50843.184012302001</v>
      </c>
      <c r="L3">
        <v>15303.798393478701</v>
      </c>
      <c r="M3">
        <v>19297.530491452799</v>
      </c>
      <c r="N3">
        <v>992.31070788530405</v>
      </c>
      <c r="O3">
        <v>0</v>
      </c>
      <c r="P3">
        <v>233289.900377985</v>
      </c>
      <c r="Q3">
        <v>1127.0837800240299</v>
      </c>
      <c r="R3">
        <v>0</v>
      </c>
      <c r="S3">
        <v>0</v>
      </c>
      <c r="T3">
        <v>0</v>
      </c>
    </row>
    <row r="4" spans="1:20" x14ac:dyDescent="0.4">
      <c r="A4" t="s">
        <v>22</v>
      </c>
      <c r="B4" t="s">
        <v>23</v>
      </c>
      <c r="C4">
        <v>0</v>
      </c>
      <c r="D4">
        <v>120897.164660582</v>
      </c>
      <c r="E4">
        <v>282179.67125255102</v>
      </c>
      <c r="F4">
        <v>0.85920132414667005</v>
      </c>
      <c r="G4">
        <v>21103.178564432201</v>
      </c>
      <c r="H4">
        <v>5044.5785543711099</v>
      </c>
      <c r="I4">
        <v>9304.8946454247507</v>
      </c>
      <c r="J4">
        <v>35452.651764228103</v>
      </c>
      <c r="K4">
        <v>50843.1840118412</v>
      </c>
      <c r="L4">
        <v>15303.7983932269</v>
      </c>
      <c r="M4">
        <v>19297.530491286099</v>
      </c>
      <c r="N4">
        <v>992.31070788530405</v>
      </c>
      <c r="O4">
        <v>0</v>
      </c>
      <c r="P4">
        <v>242449.147187464</v>
      </c>
      <c r="Q4">
        <v>1127.0837796179201</v>
      </c>
      <c r="R4">
        <v>0</v>
      </c>
      <c r="S4">
        <v>0</v>
      </c>
      <c r="T4">
        <v>0</v>
      </c>
    </row>
    <row r="6" spans="1:20" x14ac:dyDescent="0.4">
      <c r="A6" t="s">
        <v>20</v>
      </c>
      <c r="B6" t="s">
        <v>24</v>
      </c>
      <c r="C6">
        <v>0</v>
      </c>
      <c r="D6">
        <v>111142.758477303</v>
      </c>
      <c r="E6">
        <v>282179.67123287602</v>
      </c>
      <c r="F6">
        <v>0.82463325578173197</v>
      </c>
      <c r="G6">
        <v>18240.8407502021</v>
      </c>
      <c r="H6">
        <v>4851.2693328072801</v>
      </c>
      <c r="I6">
        <v>2606.1355131391001</v>
      </c>
      <c r="J6">
        <v>25698.245596148499</v>
      </c>
      <c r="K6">
        <v>50843.1840059237</v>
      </c>
      <c r="L6">
        <v>15303.7983857831</v>
      </c>
      <c r="M6">
        <v>19297.530489448302</v>
      </c>
      <c r="N6">
        <v>992.31070788530405</v>
      </c>
      <c r="O6">
        <v>0</v>
      </c>
      <c r="P6">
        <v>232694.74100418499</v>
      </c>
      <c r="Q6">
        <v>1101.5718970651201</v>
      </c>
      <c r="R6">
        <v>0</v>
      </c>
      <c r="S6">
        <v>0</v>
      </c>
      <c r="T6">
        <v>0</v>
      </c>
    </row>
    <row r="7" spans="1:20" x14ac:dyDescent="0.4">
      <c r="A7" t="s">
        <v>22</v>
      </c>
      <c r="B7" t="s">
        <v>24</v>
      </c>
      <c r="C7">
        <v>0</v>
      </c>
      <c r="D7">
        <v>120105.62640119799</v>
      </c>
      <c r="E7">
        <v>282179.67123287602</v>
      </c>
      <c r="F7">
        <v>0.85639623815652299</v>
      </c>
      <c r="G7">
        <v>20632.008189972999</v>
      </c>
      <c r="H7">
        <v>4931.94871395263</v>
      </c>
      <c r="I7">
        <v>9097.1451203198394</v>
      </c>
      <c r="J7">
        <v>34661.102024245498</v>
      </c>
      <c r="K7">
        <v>50843.186957348102</v>
      </c>
      <c r="L7">
        <v>15303.8063177357</v>
      </c>
      <c r="M7">
        <v>19297.531101868899</v>
      </c>
      <c r="N7">
        <v>992.31070788530405</v>
      </c>
      <c r="O7">
        <v>0</v>
      </c>
      <c r="P7">
        <v>241657.60892808001</v>
      </c>
      <c r="Q7">
        <v>1101.9194839550801</v>
      </c>
      <c r="R7">
        <v>0</v>
      </c>
      <c r="S7">
        <v>0</v>
      </c>
      <c r="T7">
        <v>0</v>
      </c>
    </row>
    <row r="9" spans="1:20" x14ac:dyDescent="0.4">
      <c r="A9" t="s">
        <v>20</v>
      </c>
      <c r="B9" t="s">
        <v>25</v>
      </c>
      <c r="C9">
        <v>0</v>
      </c>
      <c r="D9">
        <v>111179.352715972</v>
      </c>
      <c r="E9">
        <v>282179.67123287602</v>
      </c>
      <c r="F9">
        <v>0.82476293995957695</v>
      </c>
      <c r="G9">
        <v>18266.8157113575</v>
      </c>
      <c r="H9">
        <v>4858.1774967593901</v>
      </c>
      <c r="I9">
        <v>2609.8466266994801</v>
      </c>
      <c r="J9">
        <v>25734.839834816299</v>
      </c>
      <c r="K9">
        <v>50843.184005923897</v>
      </c>
      <c r="L9">
        <v>15303.798385783701</v>
      </c>
      <c r="M9">
        <v>19297.530489448302</v>
      </c>
      <c r="N9">
        <v>992.31070788530405</v>
      </c>
      <c r="O9">
        <v>0</v>
      </c>
      <c r="P9">
        <v>232731.33524285399</v>
      </c>
      <c r="Q9">
        <v>1103.1405255510299</v>
      </c>
      <c r="R9">
        <v>0</v>
      </c>
      <c r="S9">
        <v>0</v>
      </c>
      <c r="T9">
        <v>0</v>
      </c>
    </row>
    <row r="10" spans="1:20" x14ac:dyDescent="0.4">
      <c r="A10" t="s">
        <v>22</v>
      </c>
      <c r="B10" t="s">
        <v>25</v>
      </c>
      <c r="C10">
        <v>0</v>
      </c>
      <c r="D10">
        <v>120133.22940371701</v>
      </c>
      <c r="E10">
        <v>282181.81222384499</v>
      </c>
      <c r="F10">
        <v>0.85648756036366303</v>
      </c>
      <c r="G10">
        <v>20646.853340244099</v>
      </c>
      <c r="H10">
        <v>4935.5483613883198</v>
      </c>
      <c r="I10">
        <v>9103.7847909659795</v>
      </c>
      <c r="J10">
        <v>34686.186492598397</v>
      </c>
      <c r="K10">
        <v>50844.052885348698</v>
      </c>
      <c r="L10">
        <v>15305.212873121</v>
      </c>
      <c r="M10">
        <v>19297.777152649</v>
      </c>
      <c r="N10">
        <v>992.31070788530405</v>
      </c>
      <c r="O10">
        <v>0</v>
      </c>
      <c r="P10">
        <v>241685.21193059901</v>
      </c>
      <c r="Q10">
        <v>1102.72373433861</v>
      </c>
      <c r="R10">
        <v>0</v>
      </c>
      <c r="S10">
        <v>0</v>
      </c>
      <c r="T10">
        <v>0</v>
      </c>
    </row>
    <row r="12" spans="1:20" x14ac:dyDescent="0.4">
      <c r="A12" t="s">
        <v>22</v>
      </c>
      <c r="B12" t="s">
        <v>21</v>
      </c>
      <c r="C12">
        <v>0</v>
      </c>
      <c r="D12">
        <v>120105.62640119799</v>
      </c>
      <c r="E12">
        <v>282179.67123287602</v>
      </c>
      <c r="F12">
        <v>0.85639623815652299</v>
      </c>
      <c r="G12">
        <v>20632.008189972999</v>
      </c>
      <c r="H12">
        <v>4931.94871395263</v>
      </c>
      <c r="I12">
        <v>9097.1451203198394</v>
      </c>
      <c r="J12">
        <v>34661.102024245498</v>
      </c>
      <c r="K12">
        <v>50843.186957348102</v>
      </c>
      <c r="L12">
        <v>15303.8063177357</v>
      </c>
      <c r="M12">
        <v>19297.531101868899</v>
      </c>
      <c r="N12">
        <v>992.31070788530405</v>
      </c>
      <c r="O12">
        <v>0</v>
      </c>
      <c r="P12">
        <v>241657.60892808001</v>
      </c>
      <c r="Q12">
        <v>1101.9194839550801</v>
      </c>
      <c r="R12">
        <v>0</v>
      </c>
      <c r="S12">
        <v>0</v>
      </c>
      <c r="T12">
        <v>0</v>
      </c>
    </row>
    <row r="13" spans="1:20" x14ac:dyDescent="0.4">
      <c r="A13" t="s">
        <v>20</v>
      </c>
      <c r="B13" t="s">
        <v>21</v>
      </c>
      <c r="C13">
        <v>0</v>
      </c>
      <c r="D13">
        <v>111142.758477303</v>
      </c>
      <c r="E13">
        <v>282179.67123287602</v>
      </c>
      <c r="F13">
        <v>0.82463325578173197</v>
      </c>
      <c r="G13">
        <v>18240.8407502021</v>
      </c>
      <c r="H13">
        <v>4851.2693328072801</v>
      </c>
      <c r="I13">
        <v>2606.1355131391001</v>
      </c>
      <c r="J13">
        <v>25698.245596148499</v>
      </c>
      <c r="K13">
        <v>50843.1840059237</v>
      </c>
      <c r="L13">
        <v>15303.7983857831</v>
      </c>
      <c r="M13">
        <v>19297.530489448302</v>
      </c>
      <c r="N13">
        <v>992.31070788530405</v>
      </c>
      <c r="O13">
        <v>0</v>
      </c>
      <c r="P13">
        <v>232694.74100418499</v>
      </c>
      <c r="Q13">
        <v>1101.5718970651201</v>
      </c>
      <c r="R13">
        <v>0</v>
      </c>
      <c r="S13">
        <v>0</v>
      </c>
      <c r="T13">
        <v>0</v>
      </c>
    </row>
    <row r="15" spans="1:20" x14ac:dyDescent="0.4">
      <c r="A15" t="s">
        <v>20</v>
      </c>
      <c r="B15" t="s">
        <v>23</v>
      </c>
      <c r="C15">
        <v>1</v>
      </c>
      <c r="D15">
        <v>112765.52483279799</v>
      </c>
      <c r="E15">
        <v>282322.94999999902</v>
      </c>
      <c r="F15">
        <v>0.82996266282879405</v>
      </c>
      <c r="G15">
        <v>18232.263309167702</v>
      </c>
      <c r="H15">
        <v>6458.86539103209</v>
      </c>
      <c r="I15">
        <v>2586.49818260132</v>
      </c>
      <c r="J15">
        <v>27277.626882801102</v>
      </c>
      <c r="K15">
        <v>50868.999999997599</v>
      </c>
      <c r="L15">
        <v>15311.568999999699</v>
      </c>
      <c r="M15">
        <v>19307.328949999501</v>
      </c>
      <c r="N15">
        <v>994.09650999907501</v>
      </c>
      <c r="O15">
        <v>0</v>
      </c>
      <c r="P15">
        <v>234317.507359679</v>
      </c>
      <c r="Q15">
        <v>1466.60679969635</v>
      </c>
      <c r="R15">
        <v>0</v>
      </c>
    </row>
    <row r="16" spans="1:20" x14ac:dyDescent="0.4">
      <c r="A16" t="s">
        <v>22</v>
      </c>
      <c r="B16" t="s">
        <v>23</v>
      </c>
      <c r="C16">
        <v>1</v>
      </c>
      <c r="D16">
        <v>121661.732552156</v>
      </c>
      <c r="E16">
        <v>282322.94999999902</v>
      </c>
      <c r="F16">
        <v>0.86147341220059803</v>
      </c>
      <c r="G16">
        <v>20583.8776149273</v>
      </c>
      <c r="H16">
        <v>6564.2083881818999</v>
      </c>
      <c r="I16">
        <v>9025.7485990471305</v>
      </c>
      <c r="J16">
        <v>36173.834602156297</v>
      </c>
      <c r="K16">
        <v>50869</v>
      </c>
      <c r="L16">
        <v>15311.569</v>
      </c>
      <c r="M16">
        <v>19307.328949999999</v>
      </c>
      <c r="N16">
        <v>994.09650999907501</v>
      </c>
      <c r="O16">
        <v>0</v>
      </c>
      <c r="P16">
        <v>243213.715079038</v>
      </c>
      <c r="Q16">
        <v>1466.6067124359399</v>
      </c>
      <c r="R16">
        <v>0</v>
      </c>
    </row>
    <row r="18" spans="1:23" x14ac:dyDescent="0.4">
      <c r="A18" t="s">
        <v>20</v>
      </c>
      <c r="B18" t="s">
        <v>23</v>
      </c>
      <c r="C18">
        <v>2</v>
      </c>
      <c r="D18">
        <v>111737.917851103</v>
      </c>
      <c r="E18">
        <v>282179.67125484499</v>
      </c>
      <c r="F18">
        <v>0.826742406143402</v>
      </c>
      <c r="G18">
        <v>18663.290146715601</v>
      </c>
      <c r="H18">
        <v>4963.6224309139197</v>
      </c>
      <c r="I18">
        <v>2666.4923762402</v>
      </c>
      <c r="J18">
        <v>26293.4049538697</v>
      </c>
      <c r="K18">
        <v>50843.184012302001</v>
      </c>
      <c r="L18">
        <v>15303.798393478701</v>
      </c>
      <c r="M18">
        <v>19297.530491452799</v>
      </c>
      <c r="N18">
        <v>992.31070788530405</v>
      </c>
      <c r="O18">
        <v>0</v>
      </c>
      <c r="P18">
        <v>233289.900377985</v>
      </c>
      <c r="Q18">
        <v>1127.0837800240299</v>
      </c>
      <c r="R18">
        <v>0</v>
      </c>
    </row>
    <row r="19" spans="1:23" x14ac:dyDescent="0.4">
      <c r="A19" t="s">
        <v>22</v>
      </c>
      <c r="B19" t="s">
        <v>23</v>
      </c>
      <c r="C19">
        <v>2</v>
      </c>
      <c r="D19">
        <v>118393.04078958899</v>
      </c>
      <c r="E19">
        <v>282322.95</v>
      </c>
      <c r="F19">
        <v>0.84989556575712399</v>
      </c>
      <c r="G19">
        <v>20322.3387120884</v>
      </c>
      <c r="H19">
        <v>6565.6354226596604</v>
      </c>
      <c r="I19">
        <v>6017.1687048407903</v>
      </c>
      <c r="J19">
        <v>32905.142839588902</v>
      </c>
      <c r="K19">
        <v>50869.000000000102</v>
      </c>
      <c r="L19">
        <v>15311.568999999899</v>
      </c>
      <c r="M19">
        <v>19307.328949999999</v>
      </c>
      <c r="N19">
        <v>999.49269129581296</v>
      </c>
      <c r="O19">
        <v>0</v>
      </c>
      <c r="P19">
        <v>239945.02331647</v>
      </c>
      <c r="Q19">
        <v>1466.9255534444001</v>
      </c>
      <c r="R19">
        <v>22473.732168664301</v>
      </c>
      <c r="S19">
        <v>351.15206513537998</v>
      </c>
      <c r="T19">
        <v>0.79850332454920403</v>
      </c>
    </row>
    <row r="21" spans="1:23" x14ac:dyDescent="0.4">
      <c r="A21" t="s">
        <v>20</v>
      </c>
      <c r="B21" t="s">
        <v>21</v>
      </c>
      <c r="C21">
        <v>2</v>
      </c>
      <c r="D21">
        <v>111737.92287843001</v>
      </c>
      <c r="E21">
        <v>282179.67125484499</v>
      </c>
      <c r="F21">
        <v>0.82674242395945297</v>
      </c>
      <c r="G21">
        <v>18663.290416404601</v>
      </c>
      <c r="H21">
        <v>4963.6225077490999</v>
      </c>
      <c r="I21">
        <v>2666.4924108713899</v>
      </c>
      <c r="J21">
        <v>26293.405335025102</v>
      </c>
      <c r="K21">
        <v>50843.185205157402</v>
      </c>
      <c r="L21">
        <v>15303.8015992776</v>
      </c>
      <c r="M21">
        <v>19297.530738970301</v>
      </c>
      <c r="N21">
        <v>992.31070788530405</v>
      </c>
      <c r="O21">
        <v>0</v>
      </c>
      <c r="P21">
        <v>233289.90540531199</v>
      </c>
      <c r="Q21">
        <v>1127.08379747136</v>
      </c>
      <c r="R21">
        <v>0</v>
      </c>
    </row>
    <row r="22" spans="1:23" x14ac:dyDescent="0.4">
      <c r="A22" t="s">
        <v>22</v>
      </c>
      <c r="B22" t="s">
        <v>21</v>
      </c>
      <c r="C22">
        <v>2</v>
      </c>
      <c r="D22">
        <v>111145.74490869101</v>
      </c>
      <c r="E22">
        <v>282179.67123287602</v>
      </c>
      <c r="F22">
        <v>0.824643839220908</v>
      </c>
      <c r="G22">
        <v>18242.859043300999</v>
      </c>
      <c r="H22">
        <v>4851.8098358536599</v>
      </c>
      <c r="I22">
        <v>2606.42587512207</v>
      </c>
      <c r="J22">
        <v>25701.094754276801</v>
      </c>
      <c r="K22">
        <v>50843.219249379203</v>
      </c>
      <c r="L22">
        <v>15303.8931025696</v>
      </c>
      <c r="M22">
        <v>19297.537802465198</v>
      </c>
      <c r="N22">
        <v>992.31070788530405</v>
      </c>
      <c r="O22">
        <v>0</v>
      </c>
      <c r="P22">
        <v>232697.72743557199</v>
      </c>
      <c r="Q22">
        <v>1101.6946284421099</v>
      </c>
      <c r="R22">
        <v>0</v>
      </c>
      <c r="S22">
        <v>487.22587310308802</v>
      </c>
      <c r="T22">
        <v>1.75628458077399</v>
      </c>
    </row>
    <row r="24" spans="1:23" x14ac:dyDescent="0.4">
      <c r="A24" s="2" t="s">
        <v>20</v>
      </c>
      <c r="B24" t="s">
        <v>21</v>
      </c>
      <c r="C24">
        <v>4</v>
      </c>
      <c r="D24">
        <v>103263.067623782</v>
      </c>
      <c r="E24">
        <v>282179.67123287701</v>
      </c>
      <c r="F24">
        <v>0.79670888114802996</v>
      </c>
      <c r="G24">
        <v>18270.343045682599</v>
      </c>
      <c r="H24">
        <v>4859.1187222275803</v>
      </c>
      <c r="I24">
        <v>2610.3522592715499</v>
      </c>
      <c r="J24">
        <v>25739.814027181699</v>
      </c>
      <c r="K24">
        <v>48809.484574716203</v>
      </c>
      <c r="L24">
        <v>9838.23116441202</v>
      </c>
      <c r="M24">
        <v>18875.537857472798</v>
      </c>
      <c r="N24">
        <v>992.31070788530405</v>
      </c>
      <c r="O24">
        <v>0</v>
      </c>
      <c r="P24">
        <v>224815.050150664</v>
      </c>
      <c r="Q24">
        <v>1103.3542485400801</v>
      </c>
      <c r="R24">
        <v>0</v>
      </c>
      <c r="S24">
        <v>0</v>
      </c>
      <c r="T24">
        <v>0</v>
      </c>
    </row>
    <row r="25" spans="1:23" x14ac:dyDescent="0.4">
      <c r="A25" s="2" t="s">
        <v>22</v>
      </c>
      <c r="B25" t="s">
        <v>21</v>
      </c>
      <c r="C25">
        <v>4</v>
      </c>
      <c r="D25">
        <v>108527.711286153</v>
      </c>
      <c r="E25">
        <v>282179.67123319401</v>
      </c>
      <c r="F25">
        <v>0.81536594329254797</v>
      </c>
      <c r="G25">
        <v>19470.284119269101</v>
      </c>
      <c r="H25">
        <v>5251.7861497213999</v>
      </c>
      <c r="I25">
        <v>4921.3210739687102</v>
      </c>
      <c r="J25">
        <v>29643.391342959199</v>
      </c>
      <c r="K25">
        <v>49158.923944860697</v>
      </c>
      <c r="L25">
        <v>10777.3494715455</v>
      </c>
      <c r="M25">
        <v>18948.046526787599</v>
      </c>
      <c r="N25">
        <v>1008.6177006503</v>
      </c>
      <c r="O25">
        <v>0</v>
      </c>
      <c r="P25">
        <v>230079.69381303401</v>
      </c>
      <c r="Q25">
        <v>1173.3790798621201</v>
      </c>
      <c r="R25">
        <v>12990.682952859001</v>
      </c>
      <c r="S25">
        <v>463.95296260210699</v>
      </c>
      <c r="T25">
        <v>1.63318791126541</v>
      </c>
    </row>
    <row r="27" spans="1:23" x14ac:dyDescent="0.4">
      <c r="A27" s="1" t="s">
        <v>27</v>
      </c>
    </row>
    <row r="28" spans="1:23" x14ac:dyDescent="0.4">
      <c r="A28" t="s">
        <v>22</v>
      </c>
      <c r="B28" t="s">
        <v>23</v>
      </c>
      <c r="C28">
        <v>0</v>
      </c>
      <c r="D28">
        <v>155096.37936009499</v>
      </c>
      <c r="E28">
        <v>374203.2</v>
      </c>
      <c r="F28">
        <v>0.73929982930925298</v>
      </c>
      <c r="G28">
        <v>31331.647259594902</v>
      </c>
      <c r="H28">
        <v>9240.58822328104</v>
      </c>
      <c r="I28">
        <v>1214.7406677558599</v>
      </c>
      <c r="J28">
        <v>41786.976150631803</v>
      </c>
      <c r="K28">
        <v>67424.000002429399</v>
      </c>
      <c r="L28">
        <v>20294.624006529499</v>
      </c>
      <c r="M28">
        <v>25590.779200504101</v>
      </c>
      <c r="N28">
        <v>992.31070788530405</v>
      </c>
      <c r="O28">
        <v>0</v>
      </c>
      <c r="P28">
        <v>276648.361886976</v>
      </c>
      <c r="Q28">
        <v>1466.6067163402599</v>
      </c>
      <c r="R28">
        <v>0</v>
      </c>
      <c r="S28">
        <v>0</v>
      </c>
      <c r="T28">
        <v>0</v>
      </c>
    </row>
    <row r="29" spans="1:23" x14ac:dyDescent="0.4">
      <c r="A29" t="s">
        <v>20</v>
      </c>
      <c r="B29" t="s">
        <v>23</v>
      </c>
      <c r="C29">
        <v>0</v>
      </c>
      <c r="D29">
        <v>247948.64160389101</v>
      </c>
      <c r="E29">
        <v>374203.2</v>
      </c>
      <c r="F29">
        <v>0.98743309552342695</v>
      </c>
      <c r="G29">
        <v>118659.96685142</v>
      </c>
      <c r="H29">
        <v>9240.5882208594503</v>
      </c>
      <c r="I29">
        <v>6738.6833231561404</v>
      </c>
      <c r="J29">
        <v>134639.23839543501</v>
      </c>
      <c r="K29">
        <v>67424.000002171</v>
      </c>
      <c r="L29">
        <v>20294.624005833801</v>
      </c>
      <c r="M29">
        <v>25590.779200450401</v>
      </c>
      <c r="N29">
        <v>992.31070788530405</v>
      </c>
      <c r="O29">
        <v>0</v>
      </c>
      <c r="P29">
        <v>369500.62413077202</v>
      </c>
      <c r="Q29">
        <v>1466.60671595592</v>
      </c>
      <c r="R29">
        <v>0</v>
      </c>
      <c r="S29">
        <v>0</v>
      </c>
      <c r="T29">
        <v>0</v>
      </c>
    </row>
    <row r="30" spans="1:23" x14ac:dyDescent="0.4">
      <c r="A30" t="s">
        <v>22</v>
      </c>
      <c r="B30" t="s">
        <v>21</v>
      </c>
      <c r="C30">
        <v>0</v>
      </c>
      <c r="D30">
        <v>171865.08676903401</v>
      </c>
      <c r="E30">
        <v>282179.67634316301</v>
      </c>
      <c r="F30">
        <v>1.0398235376068901</v>
      </c>
      <c r="G30">
        <v>74067.572494025299</v>
      </c>
      <c r="H30">
        <v>7441.88027751749</v>
      </c>
      <c r="I30">
        <v>4044.9309060690198</v>
      </c>
      <c r="J30">
        <v>85554.383677611797</v>
      </c>
      <c r="K30">
        <v>51065.569692514699</v>
      </c>
      <c r="L30">
        <v>15901.4577210732</v>
      </c>
      <c r="M30">
        <v>19343.675677834799</v>
      </c>
      <c r="N30">
        <v>992.31070788530405</v>
      </c>
      <c r="O30">
        <v>0</v>
      </c>
      <c r="P30">
        <v>293417.06929591601</v>
      </c>
      <c r="Q30">
        <v>1181.12736261847</v>
      </c>
      <c r="R30">
        <v>7149.8947939583104</v>
      </c>
      <c r="S30">
        <v>210.29102335171501</v>
      </c>
      <c r="T30">
        <v>-4.8547669539218203</v>
      </c>
    </row>
    <row r="31" spans="1:23" x14ac:dyDescent="0.4">
      <c r="A31" t="s">
        <v>20</v>
      </c>
      <c r="B31" t="s">
        <v>21</v>
      </c>
      <c r="C31">
        <v>0</v>
      </c>
      <c r="D31">
        <v>117032.41959359701</v>
      </c>
      <c r="E31">
        <v>282179.67123286898</v>
      </c>
      <c r="F31">
        <v>0.845505280653571</v>
      </c>
      <c r="G31">
        <v>23683.129427060001</v>
      </c>
      <c r="H31">
        <v>6986.3695969997798</v>
      </c>
      <c r="I31">
        <v>918.40768838365295</v>
      </c>
      <c r="J31">
        <v>31587.906712443499</v>
      </c>
      <c r="K31">
        <v>50843.1840059237</v>
      </c>
      <c r="L31">
        <v>15303.7983857823</v>
      </c>
      <c r="M31">
        <v>19297.530489448101</v>
      </c>
      <c r="N31">
        <v>992.31070788530405</v>
      </c>
      <c r="O31">
        <v>0</v>
      </c>
      <c r="P31">
        <v>238584.402120479</v>
      </c>
      <c r="Q31">
        <v>1108.83163779344</v>
      </c>
      <c r="R31">
        <v>0</v>
      </c>
      <c r="S31">
        <v>230512.59606633501</v>
      </c>
      <c r="T31">
        <v>1103.3673370121001</v>
      </c>
      <c r="U31">
        <v>0</v>
      </c>
      <c r="V31">
        <v>0</v>
      </c>
      <c r="W31">
        <v>0</v>
      </c>
    </row>
    <row r="33" spans="1:20" x14ac:dyDescent="0.4">
      <c r="A33" s="2" t="s">
        <v>20</v>
      </c>
      <c r="B33" t="s">
        <v>21</v>
      </c>
      <c r="C33">
        <v>4</v>
      </c>
      <c r="D33">
        <v>108960.613539453</v>
      </c>
      <c r="E33">
        <v>282179.67123287701</v>
      </c>
      <c r="F33">
        <v>0.81690008021909599</v>
      </c>
      <c r="G33">
        <v>23571.632136721099</v>
      </c>
      <c r="H33">
        <v>6951.9409028971204</v>
      </c>
      <c r="I33">
        <v>913.88179307768496</v>
      </c>
      <c r="J33">
        <f>SUM(G33:I33)</f>
        <v>31437.454832695905</v>
      </c>
      <c r="K33">
        <v>48809.460212750702</v>
      </c>
      <c r="L33">
        <v>9838.1656916422507</v>
      </c>
      <c r="M33">
        <v>18875.532802364902</v>
      </c>
      <c r="N33">
        <v>992.31070788530405</v>
      </c>
      <c r="O33">
        <v>0</v>
      </c>
      <c r="P33">
        <v>238385.73201352599</v>
      </c>
      <c r="Q33">
        <v>1101.67495873487</v>
      </c>
      <c r="R33">
        <v>0</v>
      </c>
      <c r="S33">
        <v>0</v>
      </c>
      <c r="T33">
        <v>0</v>
      </c>
    </row>
    <row r="34" spans="1:20" x14ac:dyDescent="0.4">
      <c r="A34" s="2" t="s">
        <v>30</v>
      </c>
      <c r="D34">
        <v>116833.749486644</v>
      </c>
      <c r="E34">
        <v>282179.67123287602</v>
      </c>
      <c r="F34">
        <v>0.84480122530439805</v>
      </c>
      <c r="G34">
        <v>23535.478746437901</v>
      </c>
      <c r="H34">
        <v>6941.2778055266899</v>
      </c>
      <c r="I34">
        <v>912.48005352310201</v>
      </c>
      <c r="J34">
        <v>31389.236605487698</v>
      </c>
      <c r="K34">
        <v>50843.184005923998</v>
      </c>
      <c r="L34">
        <v>15303.798385784499</v>
      </c>
      <c r="M34">
        <v>19297.5304894484</v>
      </c>
      <c r="N34">
        <v>992.31070788530405</v>
      </c>
      <c r="O34">
        <v>0</v>
      </c>
    </row>
    <row r="35" spans="1:20" x14ac:dyDescent="0.4">
      <c r="A35" s="2"/>
      <c r="P35">
        <v>235150.29028510299</v>
      </c>
      <c r="Q35">
        <v>1494.95371016114</v>
      </c>
      <c r="R35">
        <v>40078.803663142098</v>
      </c>
      <c r="S35">
        <v>910.88190143504903</v>
      </c>
      <c r="T35">
        <v>0.51068072492979899</v>
      </c>
    </row>
    <row r="36" spans="1:20" x14ac:dyDescent="0.4">
      <c r="A36" s="2" t="s">
        <v>22</v>
      </c>
      <c r="B36" t="s">
        <v>21</v>
      </c>
      <c r="C36">
        <v>4</v>
      </c>
      <c r="D36">
        <v>113598.307758221</v>
      </c>
      <c r="E36">
        <v>282179.67123287398</v>
      </c>
      <c r="F36">
        <v>0.83333533297315499</v>
      </c>
      <c r="G36">
        <v>21005.263452339499</v>
      </c>
      <c r="H36">
        <v>9419.1929847336105</v>
      </c>
      <c r="I36">
        <v>0</v>
      </c>
      <c r="J36">
        <f>SUM(G36:I36)</f>
        <v>30424.45643707311</v>
      </c>
      <c r="K36">
        <v>48819.627456497903</v>
      </c>
      <c r="L36">
        <v>14784.690159207899</v>
      </c>
      <c r="M36">
        <v>19569.533705442402</v>
      </c>
      <c r="N36">
        <v>1040.9289460857101</v>
      </c>
      <c r="O36">
        <v>0</v>
      </c>
    </row>
    <row r="38" spans="1:20" hidden="1" x14ac:dyDescent="0.4"/>
    <row r="39" spans="1:20" hidden="1" x14ac:dyDescent="0.4">
      <c r="A39" s="1" t="s">
        <v>26</v>
      </c>
      <c r="P39" t="s">
        <v>15</v>
      </c>
      <c r="Q39" t="s">
        <v>16</v>
      </c>
      <c r="R39" t="s">
        <v>17</v>
      </c>
      <c r="S39" t="s">
        <v>18</v>
      </c>
      <c r="T39" t="s">
        <v>19</v>
      </c>
    </row>
    <row r="40" spans="1:20" hidden="1" x14ac:dyDescent="0.4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12</v>
      </c>
      <c r="N40" t="s">
        <v>13</v>
      </c>
      <c r="O40" t="s">
        <v>14</v>
      </c>
      <c r="P40">
        <v>63734.6679</v>
      </c>
      <c r="Q40">
        <v>1078.4492829999999</v>
      </c>
      <c r="R40">
        <v>624.70352849999995</v>
      </c>
      <c r="S40">
        <v>13.014656840000001</v>
      </c>
      <c r="T40">
        <v>27.514184579999998</v>
      </c>
    </row>
    <row r="41" spans="1:20" hidden="1" x14ac:dyDescent="0.4">
      <c r="A41" s="2" t="s">
        <v>20</v>
      </c>
      <c r="B41" t="s">
        <v>21</v>
      </c>
      <c r="C41">
        <v>4</v>
      </c>
      <c r="D41">
        <v>29525.427309999999</v>
      </c>
      <c r="E41">
        <v>80391.755990000005</v>
      </c>
      <c r="F41">
        <v>0.79280104200000001</v>
      </c>
      <c r="G41">
        <v>5050.6365619999997</v>
      </c>
      <c r="H41">
        <v>4678.3390820000004</v>
      </c>
      <c r="I41">
        <v>2508.6600360000002</v>
      </c>
      <c r="J41">
        <v>12237.635679999999</v>
      </c>
      <c r="K41">
        <v>13920</v>
      </c>
      <c r="L41">
        <v>2841.544922</v>
      </c>
      <c r="M41">
        <v>5380.5444360000001</v>
      </c>
      <c r="N41">
        <v>279.27307350000001</v>
      </c>
      <c r="O41">
        <v>0</v>
      </c>
      <c r="P41">
        <v>64865.028310000002</v>
      </c>
      <c r="Q41">
        <v>1191.7509680000001</v>
      </c>
      <c r="R41">
        <v>7243.7162129999997</v>
      </c>
      <c r="S41">
        <v>452.7322633</v>
      </c>
      <c r="T41">
        <v>5.8154128590000003</v>
      </c>
    </row>
    <row r="42" spans="1:20" x14ac:dyDescent="0.4">
      <c r="A42" s="2"/>
    </row>
  </sheetData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wrd_pricetater_flex_type_summar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Churchill, Jake</cp:lastModifiedBy>
  <dcterms:created xsi:type="dcterms:W3CDTF">2026-05-20T23:03:01Z</dcterms:created>
  <dcterms:modified xsi:type="dcterms:W3CDTF">2026-06-01T23:30:24Z</dcterms:modified>
</cp:coreProperties>
</file>